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varo\Documents\Luis A Torres M\Negocios\Comida Barf\"/>
    </mc:Choice>
  </mc:AlternateContent>
  <xr:revisionPtr revIDLastSave="0" documentId="13_ncr:1_{4A42CB00-0ADD-4624-859F-5FCCD61B40F3}" xr6:coauthVersionLast="47" xr6:coauthVersionMax="47" xr10:uidLastSave="{00000000-0000-0000-0000-000000000000}"/>
  <bookViews>
    <workbookView xWindow="-120" yWindow="-120" windowWidth="29040" windowHeight="15840" tabRatio="763" activeTab="1" xr2:uid="{316D66DF-EB7B-485A-AD3A-74DD0264CADF}"/>
  </bookViews>
  <sheets>
    <sheet name="Dia Producción" sheetId="10" r:id="rId1"/>
    <sheet name="Ventas Comida - Inventario" sheetId="9" r:id="rId2"/>
  </sheets>
  <definedNames>
    <definedName name="_xlnm._FilterDatabase" localSheetId="1" hidden="1">'Ventas Comida - Inventario'!$E$6:$O$65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0" l="1"/>
  <c r="F31" i="10"/>
  <c r="H13" i="10"/>
  <c r="H9" i="10"/>
  <c r="K13" i="10"/>
  <c r="K17" i="10"/>
  <c r="H16" i="10" l="1"/>
  <c r="K25" i="10"/>
  <c r="K20" i="10"/>
  <c r="G23" i="9"/>
  <c r="H12" i="10"/>
  <c r="F20" i="10"/>
  <c r="F29" i="10"/>
  <c r="F28" i="10"/>
  <c r="H24" i="9"/>
  <c r="G24" i="9"/>
  <c r="F27" i="10" s="1"/>
  <c r="H23" i="9"/>
  <c r="H25" i="9" s="1"/>
  <c r="J16" i="9"/>
  <c r="H20" i="9"/>
  <c r="J19" i="9"/>
  <c r="I20" i="9"/>
  <c r="I23" i="9" s="1"/>
  <c r="I25" i="9" s="1"/>
  <c r="G20" i="9"/>
  <c r="G25" i="9" s="1"/>
  <c r="J15" i="9"/>
  <c r="J17" i="9"/>
  <c r="J13" i="9"/>
  <c r="J11" i="9"/>
  <c r="J10" i="9"/>
  <c r="J20" i="9" s="1"/>
  <c r="J12" i="9"/>
  <c r="J14" i="9"/>
  <c r="J18" i="9"/>
  <c r="J26" i="9"/>
  <c r="J27" i="9"/>
  <c r="J28" i="9"/>
  <c r="J29" i="9"/>
  <c r="J30" i="9"/>
  <c r="J31" i="9"/>
  <c r="J32" i="9"/>
  <c r="M7" i="9" s="1"/>
  <c r="J33" i="9"/>
  <c r="J34" i="9"/>
  <c r="J35" i="9"/>
  <c r="O6" i="9" s="1"/>
  <c r="J36" i="9"/>
  <c r="J37" i="9"/>
  <c r="J9" i="9"/>
  <c r="L9" i="9" s="1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K26" i="10" l="1"/>
  <c r="J24" i="9"/>
  <c r="K23" i="10"/>
  <c r="K24" i="10" s="1"/>
  <c r="F30" i="10"/>
  <c r="L10" i="9"/>
  <c r="F23" i="10" l="1"/>
  <c r="F24" i="10" s="1"/>
  <c r="K24" i="9"/>
  <c r="L11" i="9"/>
  <c r="L12" i="9" s="1"/>
  <c r="L13" i="9" s="1"/>
  <c r="L14" i="9" s="1"/>
  <c r="L15" i="9" s="1"/>
  <c r="L16" i="9" s="1"/>
  <c r="L17" i="9" s="1"/>
  <c r="L18" i="9" s="1"/>
  <c r="L19" i="9" s="1"/>
  <c r="J66" i="9" l="1"/>
  <c r="M6" i="9"/>
  <c r="M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Alvaro</author>
  </authors>
  <commentList>
    <comment ref="I16" authorId="0" shapeId="0" xr:uid="{30F87544-74CD-4047-8B67-3585A02FEE50}">
      <text>
        <r>
          <rPr>
            <b/>
            <sz val="9"/>
            <color indexed="81"/>
            <rFont val="Tahoma"/>
            <charset val="1"/>
          </rPr>
          <t>Alvaro:</t>
        </r>
        <r>
          <rPr>
            <sz val="9"/>
            <color indexed="81"/>
            <rFont val="Tahoma"/>
            <charset val="1"/>
          </rPr>
          <t xml:space="preserve">
Detalle</t>
        </r>
      </text>
    </comment>
  </commentList>
</comments>
</file>

<file path=xl/sharedStrings.xml><?xml version="1.0" encoding="utf-8"?>
<sst xmlns="http://schemas.openxmlformats.org/spreadsheetml/2006/main" count="97" uniqueCount="62">
  <si>
    <t>Insumos</t>
  </si>
  <si>
    <t>Valor</t>
  </si>
  <si>
    <t>Factura</t>
  </si>
  <si>
    <t>Fecha Compra</t>
  </si>
  <si>
    <t>Salvado y Avena</t>
  </si>
  <si>
    <t>-</t>
  </si>
  <si>
    <t>Pollo</t>
  </si>
  <si>
    <t>Total Compras</t>
  </si>
  <si>
    <t>Mano de Obra</t>
  </si>
  <si>
    <t>TOTAL</t>
  </si>
  <si>
    <t>Mixta</t>
  </si>
  <si>
    <t>Carne</t>
  </si>
  <si>
    <t>Fecha</t>
  </si>
  <si>
    <t>Venta Susana</t>
  </si>
  <si>
    <t>Venta Rene</t>
  </si>
  <si>
    <t>Venta Johana Alcaldia</t>
  </si>
  <si>
    <t>Detalle</t>
  </si>
  <si>
    <t>P</t>
  </si>
  <si>
    <t>C</t>
  </si>
  <si>
    <t>M</t>
  </si>
  <si>
    <t>Valor Venta</t>
  </si>
  <si>
    <t>JC</t>
  </si>
  <si>
    <t>AT</t>
  </si>
  <si>
    <t>Pagado a</t>
  </si>
  <si>
    <t>Verduras</t>
  </si>
  <si>
    <t>BOLD</t>
  </si>
  <si>
    <t>Fecha Producción:  07 de Septiembre 2026</t>
  </si>
  <si>
    <t>Cierre Caja Anterior</t>
  </si>
  <si>
    <t>Ingresos Efectivo</t>
  </si>
  <si>
    <t>Nuevo Cierre de Caja EFECTIVO</t>
  </si>
  <si>
    <t>Cierre de Caja BOLD</t>
  </si>
  <si>
    <t>Inventario</t>
  </si>
  <si>
    <t>---</t>
  </si>
  <si>
    <t>Consumo Jhon</t>
  </si>
  <si>
    <t>Consumo Alvaro</t>
  </si>
  <si>
    <t>----</t>
  </si>
  <si>
    <t>PRODUCCIÓN</t>
  </si>
  <si>
    <t>PETA-2667 POS</t>
  </si>
  <si>
    <t>27-29 Septiembre 2026</t>
  </si>
  <si>
    <t>557F113735</t>
  </si>
  <si>
    <t>Compra carne</t>
  </si>
  <si>
    <t>Higados</t>
  </si>
  <si>
    <t>6FE-118823</t>
  </si>
  <si>
    <t>22FE-16778</t>
  </si>
  <si>
    <t>Mantenimiento</t>
  </si>
  <si>
    <t>Valor Producción</t>
  </si>
  <si>
    <t>Multivitaminico</t>
  </si>
  <si>
    <t>Compra Bolsas (3und*100 c/u)</t>
  </si>
  <si>
    <t>Costos Mensual Producción</t>
  </si>
  <si>
    <t>Concepto</t>
  </si>
  <si>
    <t>Luz</t>
  </si>
  <si>
    <t>Agua</t>
  </si>
  <si>
    <t>Total Adicionales</t>
  </si>
  <si>
    <t>Repuestos</t>
  </si>
  <si>
    <t>Arriendo</t>
  </si>
  <si>
    <t>Producción Mensual</t>
  </si>
  <si>
    <t>Costo por Unidad de Bolsa</t>
  </si>
  <si>
    <t>Costos Inversión - Retorno Inversión
(Maquinas Iniciales + Empacadora+Compresor+Software)</t>
  </si>
  <si>
    <t>Precio Estimado por unidad Producción</t>
  </si>
  <si>
    <t>Precio Estimado por unidad Producción + Costos Mensuales</t>
  </si>
  <si>
    <t>Proyección Producción</t>
  </si>
  <si>
    <t>CANTIDADES PRODUCCIÓN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</si>
</sst>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240A]d&quot; de &quot;mmmm&quot; de &quot;yyyy;@"/>
    <numFmt numFmtId="166" formatCode="[$-F800]dddd\,\ mmmm\ dd\,\ yyyy"/>
    <numFmt numFmtId="167" formatCode="&quot;$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9">
    <xf numFmtId="0" fontId="0" fillId="0" borderId="0" xfId="0"/>
    <xf numFmtId="0" fontId="0" fillId="2" borderId="0" xfId="0" applyFill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/>
    </xf>
    <xf numFmtId="16" fontId="0" fillId="2" borderId="9" xfId="0" applyNumberFormat="1" applyFill="1" applyBorder="1" applyAlignment="1">
      <alignment horizontal="center" vertical="center"/>
    </xf>
    <xf numFmtId="164" fontId="0" fillId="2" borderId="10" xfId="1" applyNumberFormat="1" applyFont="1" applyFill="1" applyBorder="1" applyAlignment="1">
      <alignment horizontal="center" vertical="center"/>
    </xf>
    <xf numFmtId="16" fontId="0" fillId="2" borderId="1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2" borderId="13" xfId="1" applyNumberFormat="1" applyFon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4" fontId="3" fillId="5" borderId="4" xfId="1" applyNumberFormat="1" applyFont="1" applyFill="1" applyBorder="1" applyAlignment="1">
      <alignment horizontal="center" vertical="center"/>
    </xf>
    <xf numFmtId="164" fontId="2" fillId="6" borderId="2" xfId="1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right" vertical="center"/>
    </xf>
    <xf numFmtId="0" fontId="0" fillId="2" borderId="18" xfId="0" applyFill="1" applyBorder="1" applyAlignment="1">
      <alignment horizontal="center" vertical="center"/>
    </xf>
    <xf numFmtId="16" fontId="0" fillId="2" borderId="19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64" fontId="0" fillId="2" borderId="21" xfId="1" applyNumberFormat="1" applyFont="1" applyFill="1" applyBorder="1" applyAlignment="1">
      <alignment horizontal="center" vertical="center"/>
    </xf>
    <xf numFmtId="0" fontId="0" fillId="2" borderId="0" xfId="0" applyFill="1"/>
    <xf numFmtId="166" fontId="0" fillId="2" borderId="0" xfId="0" applyNumberFormat="1" applyFill="1"/>
    <xf numFmtId="0" fontId="0" fillId="2" borderId="0" xfId="0" applyFill="1" applyAlignment="1">
      <alignment horizontal="right"/>
    </xf>
    <xf numFmtId="167" fontId="2" fillId="8" borderId="23" xfId="1" applyNumberFormat="1" applyFont="1" applyFill="1" applyBorder="1" applyAlignment="1">
      <alignment horizontal="center" vertical="center"/>
    </xf>
    <xf numFmtId="167" fontId="2" fillId="8" borderId="25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1" fontId="0" fillId="2" borderId="1" xfId="1" applyNumberFormat="1" applyFont="1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center" vertical="center"/>
    </xf>
    <xf numFmtId="166" fontId="0" fillId="2" borderId="9" xfId="0" applyNumberFormat="1" applyFill="1" applyBorder="1"/>
    <xf numFmtId="0" fontId="3" fillId="2" borderId="10" xfId="0" applyFont="1" applyFill="1" applyBorder="1" applyAlignment="1">
      <alignment horizontal="center" vertical="center"/>
    </xf>
    <xf numFmtId="164" fontId="2" fillId="9" borderId="2" xfId="1" applyNumberFormat="1" applyFont="1" applyFill="1" applyBorder="1" applyAlignment="1">
      <alignment vertical="center"/>
    </xf>
    <xf numFmtId="164" fontId="2" fillId="9" borderId="2" xfId="0" applyNumberFormat="1" applyFont="1" applyFill="1" applyBorder="1" applyAlignment="1">
      <alignment vertical="center"/>
    </xf>
    <xf numFmtId="167" fontId="3" fillId="9" borderId="22" xfId="0" applyNumberFormat="1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167" fontId="3" fillId="9" borderId="24" xfId="0" applyNumberFormat="1" applyFont="1" applyFill="1" applyBorder="1" applyAlignment="1">
      <alignment horizontal="center" vertical="center"/>
    </xf>
    <xf numFmtId="167" fontId="0" fillId="2" borderId="0" xfId="0" applyNumberFormat="1" applyFill="1"/>
    <xf numFmtId="164" fontId="0" fillId="2" borderId="0" xfId="1" applyNumberFormat="1" applyFont="1" applyFill="1"/>
    <xf numFmtId="164" fontId="0" fillId="2" borderId="0" xfId="0" applyNumberFormat="1" applyFill="1"/>
    <xf numFmtId="167" fontId="2" fillId="6" borderId="0" xfId="0" applyNumberFormat="1" applyFont="1" applyFill="1"/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2" fillId="6" borderId="10" xfId="1" applyNumberFormat="1" applyFont="1" applyFill="1" applyBorder="1" applyAlignment="1">
      <alignment horizontal="center" vertical="center"/>
    </xf>
    <xf numFmtId="167" fontId="3" fillId="9" borderId="17" xfId="0" applyNumberFormat="1" applyFont="1" applyFill="1" applyBorder="1" applyAlignment="1">
      <alignment horizontal="center" vertical="center"/>
    </xf>
    <xf numFmtId="167" fontId="2" fillId="8" borderId="18" xfId="1" applyNumberFormat="1" applyFont="1" applyFill="1" applyBorder="1" applyAlignment="1">
      <alignment horizontal="center" vertical="center"/>
    </xf>
    <xf numFmtId="167" fontId="3" fillId="6" borderId="8" xfId="0" applyNumberFormat="1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165" fontId="0" fillId="2" borderId="19" xfId="0" applyNumberFormat="1" applyFill="1" applyBorder="1" applyAlignment="1">
      <alignment horizontal="center" vertical="center"/>
    </xf>
    <xf numFmtId="165" fontId="3" fillId="10" borderId="3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164" fontId="4" fillId="2" borderId="25" xfId="0" applyNumberFormat="1" applyFont="1" applyFill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7" fontId="3" fillId="9" borderId="0" xfId="0" applyNumberFormat="1" applyFont="1" applyFill="1" applyAlignment="1">
      <alignment horizontal="center" vertical="center"/>
    </xf>
    <xf numFmtId="167" fontId="2" fillId="8" borderId="0" xfId="1" applyNumberFormat="1" applyFont="1" applyFill="1" applyBorder="1" applyAlignment="1">
      <alignment horizontal="center" vertical="center"/>
    </xf>
    <xf numFmtId="0" fontId="2" fillId="9" borderId="2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166" fontId="2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0" xfId="0" quotePrefix="1" applyFont="1" applyFill="1" applyAlignment="1">
      <alignment horizontal="center" vertical="center"/>
    </xf>
    <xf numFmtId="1" fontId="2" fillId="9" borderId="0" xfId="0" applyNumberFormat="1" applyFont="1" applyFill="1" applyAlignment="1">
      <alignment horizontal="center" vertical="center"/>
    </xf>
    <xf numFmtId="167" fontId="0" fillId="2" borderId="1" xfId="1" quotePrefix="1" applyNumberFormat="1" applyFont="1" applyFill="1" applyBorder="1" applyAlignment="1">
      <alignment horizontal="center" vertical="center"/>
    </xf>
    <xf numFmtId="164" fontId="4" fillId="2" borderId="18" xfId="0" quotePrefix="1" applyNumberFormat="1" applyFont="1" applyFill="1" applyBorder="1" applyAlignment="1">
      <alignment horizontal="center" vertical="center"/>
    </xf>
    <xf numFmtId="16" fontId="0" fillId="2" borderId="31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" fontId="0" fillId="2" borderId="32" xfId="0" applyNumberFormat="1" applyFill="1" applyBorder="1" applyAlignment="1">
      <alignment horizontal="center" vertical="center"/>
    </xf>
    <xf numFmtId="164" fontId="0" fillId="2" borderId="33" xfId="1" applyNumberFormat="1" applyFont="1" applyFill="1" applyBorder="1" applyAlignment="1">
      <alignment horizontal="center" vertical="center"/>
    </xf>
    <xf numFmtId="0" fontId="3" fillId="6" borderId="10" xfId="0" quotePrefix="1" applyFont="1" applyFill="1" applyBorder="1" applyAlignment="1">
      <alignment horizontal="center" vertical="center"/>
    </xf>
    <xf numFmtId="166" fontId="0" fillId="2" borderId="19" xfId="0" applyNumberFormat="1" applyFill="1" applyBorder="1"/>
    <xf numFmtId="167" fontId="0" fillId="2" borderId="20" xfId="1" quotePrefix="1" applyNumberFormat="1" applyFont="1" applyFill="1" applyBorder="1" applyAlignment="1">
      <alignment horizontal="center" vertical="center"/>
    </xf>
    <xf numFmtId="0" fontId="3" fillId="2" borderId="21" xfId="0" quotePrefix="1" applyFont="1" applyFill="1" applyBorder="1" applyAlignment="1">
      <alignment horizontal="center" vertical="center"/>
    </xf>
    <xf numFmtId="166" fontId="0" fillId="2" borderId="31" xfId="0" applyNumberFormat="1" applyFill="1" applyBorder="1"/>
    <xf numFmtId="0" fontId="3" fillId="2" borderId="33" xfId="0" applyFont="1" applyFill="1" applyBorder="1" applyAlignment="1">
      <alignment horizontal="center" vertical="center"/>
    </xf>
    <xf numFmtId="166" fontId="2" fillId="2" borderId="3" xfId="0" applyNumberFormat="1" applyFont="1" applyFill="1" applyBorder="1"/>
    <xf numFmtId="0" fontId="2" fillId="6" borderId="3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166" fontId="2" fillId="9" borderId="22" xfId="0" applyNumberFormat="1" applyFont="1" applyFill="1" applyBorder="1" applyAlignment="1">
      <alignment horizontal="center" vertical="center"/>
    </xf>
    <xf numFmtId="166" fontId="2" fillId="9" borderId="26" xfId="0" applyNumberFormat="1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167" fontId="3" fillId="6" borderId="17" xfId="0" applyNumberFormat="1" applyFont="1" applyFill="1" applyBorder="1" applyAlignment="1">
      <alignment horizontal="center"/>
    </xf>
    <xf numFmtId="167" fontId="3" fillId="6" borderId="18" xfId="0" applyNumberFormat="1" applyFont="1" applyFill="1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4" fontId="3" fillId="5" borderId="30" xfId="1" applyNumberFormat="1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164" fontId="4" fillId="2" borderId="10" xfId="0" quotePrefix="1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1" fontId="2" fillId="6" borderId="2" xfId="1" applyNumberFormat="1" applyFont="1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center" vertical="center"/>
    </xf>
    <xf numFmtId="16" fontId="0" fillId="2" borderId="19" xfId="0" applyNumberFormat="1" applyFill="1" applyBorder="1" applyAlignment="1">
      <alignment horizontal="center" vertical="center" wrapText="1"/>
    </xf>
    <xf numFmtId="16" fontId="0" fillId="2" borderId="29" xfId="0" applyNumberFormat="1" applyFill="1" applyBorder="1" applyAlignment="1">
      <alignment horizontal="center" vertical="center" wrapText="1"/>
    </xf>
    <xf numFmtId="16" fontId="0" fillId="2" borderId="31" xfId="0" applyNumberFormat="1" applyFill="1" applyBorder="1" applyAlignment="1">
      <alignment horizontal="center" vertical="center" wrapText="1"/>
    </xf>
    <xf numFmtId="1" fontId="0" fillId="2" borderId="21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33" xfId="0" applyNumberForma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1" fontId="2" fillId="6" borderId="27" xfId="1" applyNumberFormat="1" applyFont="1" applyFill="1" applyBorder="1" applyAlignment="1">
      <alignment horizontal="center" vertical="center"/>
    </xf>
    <xf numFmtId="1" fontId="2" fillId="6" borderId="37" xfId="1" applyNumberFormat="1" applyFont="1" applyFill="1" applyBorder="1" applyAlignment="1">
      <alignment horizontal="center" vertical="center"/>
    </xf>
    <xf numFmtId="167" fontId="7" fillId="2" borderId="5" xfId="1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vertical="center"/>
    </xf>
    <xf numFmtId="0" fontId="3" fillId="9" borderId="4" xfId="0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A86D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0E34-6065-4250-91B4-02324E7682EB}">
  <dimension ref="D5:X41"/>
  <sheetViews>
    <sheetView workbookViewId="0">
      <selection activeCell="K29" sqref="K29"/>
    </sheetView>
  </sheetViews>
  <sheetFormatPr baseColWidth="10" defaultRowHeight="15" x14ac:dyDescent="0.25"/>
  <cols>
    <col min="1" max="3" width="11.42578125" style="1"/>
    <col min="4" max="4" width="22.85546875" style="1" bestFit="1" customWidth="1"/>
    <col min="5" max="5" width="41.5703125" style="1" customWidth="1"/>
    <col min="6" max="6" width="29.42578125" style="1" customWidth="1"/>
    <col min="7" max="7" width="22.28515625" style="1" customWidth="1"/>
    <col min="8" max="8" width="13" style="1" bestFit="1" customWidth="1"/>
    <col min="9" max="9" width="11.42578125" style="1"/>
    <col min="10" max="10" width="38.28515625" style="1" customWidth="1"/>
    <col min="11" max="11" width="29.42578125" style="1" customWidth="1"/>
    <col min="12" max="19" width="11.42578125" style="1"/>
    <col min="20" max="20" width="18" style="1" bestFit="1" customWidth="1"/>
    <col min="21" max="21" width="14.5703125" style="1" bestFit="1" customWidth="1"/>
    <col min="22" max="22" width="11.42578125" style="1"/>
    <col min="23" max="23" width="22" style="1" bestFit="1" customWidth="1"/>
    <col min="24" max="24" width="14.5703125" style="1" bestFit="1" customWidth="1"/>
    <col min="25" max="16384" width="11.42578125" style="1"/>
  </cols>
  <sheetData>
    <row r="5" spans="5:12" ht="15.75" thickBot="1" x14ac:dyDescent="0.3"/>
    <row r="6" spans="5:12" ht="15.75" thickBot="1" x14ac:dyDescent="0.3">
      <c r="E6" s="88" t="s">
        <v>26</v>
      </c>
      <c r="F6" s="89"/>
      <c r="G6" s="126" t="s">
        <v>60</v>
      </c>
      <c r="H6" s="127">
        <v>230</v>
      </c>
      <c r="J6" s="88" t="s">
        <v>48</v>
      </c>
      <c r="K6" s="89"/>
      <c r="L6" s="100"/>
    </row>
    <row r="7" spans="5:12" ht="15.75" thickBot="1" x14ac:dyDescent="0.3">
      <c r="E7" s="15" t="s">
        <v>3</v>
      </c>
      <c r="F7" s="16" t="s">
        <v>0</v>
      </c>
      <c r="G7" s="16" t="s">
        <v>2</v>
      </c>
      <c r="H7" s="17" t="s">
        <v>1</v>
      </c>
      <c r="J7" s="101" t="s">
        <v>49</v>
      </c>
      <c r="K7" s="102" t="s">
        <v>1</v>
      </c>
    </row>
    <row r="8" spans="5:12" x14ac:dyDescent="0.25">
      <c r="E8" s="5">
        <v>46274</v>
      </c>
      <c r="F8" s="6" t="s">
        <v>6</v>
      </c>
      <c r="G8" s="7" t="s">
        <v>39</v>
      </c>
      <c r="H8" s="8">
        <v>201000</v>
      </c>
      <c r="J8" s="5" t="s">
        <v>50</v>
      </c>
      <c r="K8" s="103">
        <v>45000</v>
      </c>
    </row>
    <row r="9" spans="5:12" x14ac:dyDescent="0.25">
      <c r="E9" s="74">
        <v>46274</v>
      </c>
      <c r="F9" s="75" t="s">
        <v>46</v>
      </c>
      <c r="G9" s="76">
        <v>552451</v>
      </c>
      <c r="H9" s="77">
        <f>(49000/350)*230</f>
        <v>32200</v>
      </c>
      <c r="J9" s="9" t="s">
        <v>51</v>
      </c>
      <c r="K9" s="49">
        <v>10000</v>
      </c>
    </row>
    <row r="10" spans="5:12" x14ac:dyDescent="0.25">
      <c r="E10" s="74">
        <v>46293</v>
      </c>
      <c r="F10" s="75" t="s">
        <v>24</v>
      </c>
      <c r="G10" s="76" t="s">
        <v>42</v>
      </c>
      <c r="H10" s="77">
        <v>59463</v>
      </c>
      <c r="J10" s="9" t="s">
        <v>44</v>
      </c>
      <c r="K10" s="49">
        <v>70000</v>
      </c>
    </row>
    <row r="11" spans="5:12" x14ac:dyDescent="0.25">
      <c r="E11" s="9">
        <v>46293</v>
      </c>
      <c r="F11" s="4" t="s">
        <v>41</v>
      </c>
      <c r="G11" s="4" t="s">
        <v>43</v>
      </c>
      <c r="H11" s="10">
        <v>144260</v>
      </c>
      <c r="J11" s="9" t="s">
        <v>53</v>
      </c>
      <c r="K11" s="49">
        <v>70000</v>
      </c>
    </row>
    <row r="12" spans="5:12" x14ac:dyDescent="0.25">
      <c r="E12" s="9">
        <v>46294</v>
      </c>
      <c r="F12" s="4" t="s">
        <v>4</v>
      </c>
      <c r="G12" s="4" t="s">
        <v>5</v>
      </c>
      <c r="H12" s="10">
        <f>3900+13600+8900</f>
        <v>26400</v>
      </c>
      <c r="J12" s="9" t="s">
        <v>54</v>
      </c>
      <c r="K12" s="49">
        <v>250000</v>
      </c>
    </row>
    <row r="13" spans="5:12" ht="15" customHeight="1" x14ac:dyDescent="0.25">
      <c r="E13" s="27">
        <v>46271</v>
      </c>
      <c r="F13" s="28" t="s">
        <v>47</v>
      </c>
      <c r="G13" s="28" t="s">
        <v>37</v>
      </c>
      <c r="H13" s="29">
        <f>((13800+7500)/300)*F30</f>
        <v>17608</v>
      </c>
      <c r="J13" s="115" t="s">
        <v>57</v>
      </c>
      <c r="K13" s="118">
        <f>(20000000+11000000+2000000+2000000)/120</f>
        <v>291666.66666666669</v>
      </c>
    </row>
    <row r="14" spans="5:12" x14ac:dyDescent="0.25">
      <c r="E14" s="27">
        <v>46294</v>
      </c>
      <c r="F14" s="28" t="s">
        <v>40</v>
      </c>
      <c r="G14" s="28" t="s">
        <v>5</v>
      </c>
      <c r="H14" s="29">
        <v>80000</v>
      </c>
      <c r="J14" s="116"/>
      <c r="K14" s="119"/>
    </row>
    <row r="15" spans="5:12" ht="15.75" thickBot="1" x14ac:dyDescent="0.3">
      <c r="E15" s="11" t="s">
        <v>38</v>
      </c>
      <c r="F15" s="12" t="s">
        <v>8</v>
      </c>
      <c r="G15" s="12" t="s">
        <v>5</v>
      </c>
      <c r="H15" s="13">
        <v>50000</v>
      </c>
      <c r="J15" s="117"/>
      <c r="K15" s="120"/>
    </row>
    <row r="16" spans="5:12" ht="15.75" thickBot="1" x14ac:dyDescent="0.3">
      <c r="G16" s="18" t="s">
        <v>7</v>
      </c>
      <c r="H16" s="19">
        <f>SUM(H8:H15)</f>
        <v>610931</v>
      </c>
      <c r="J16" s="11"/>
      <c r="K16" s="104"/>
    </row>
    <row r="17" spans="4:24" ht="15.75" thickBot="1" x14ac:dyDescent="0.3">
      <c r="J17" s="105" t="s">
        <v>52</v>
      </c>
      <c r="K17" s="106">
        <f>SUM(K8:K16)</f>
        <v>736666.66666666674</v>
      </c>
    </row>
    <row r="18" spans="4:24" x14ac:dyDescent="0.25">
      <c r="H18" s="2"/>
      <c r="J18" s="107" t="s">
        <v>55</v>
      </c>
      <c r="K18" s="103">
        <f>+F30+F30</f>
        <v>496</v>
      </c>
    </row>
    <row r="19" spans="4:24" hidden="1" x14ac:dyDescent="0.25">
      <c r="H19" s="2"/>
      <c r="J19" s="50"/>
      <c r="K19" s="49"/>
      <c r="L19" s="3"/>
    </row>
    <row r="20" spans="4:24" hidden="1" x14ac:dyDescent="0.25">
      <c r="D20" s="14">
        <v>46241</v>
      </c>
      <c r="E20" s="6" t="s">
        <v>27</v>
      </c>
      <c r="F20" s="8" t="e">
        <f>+#REF!</f>
        <v>#REF!</v>
      </c>
      <c r="H20" s="2"/>
      <c r="J20" s="50" t="s">
        <v>27</v>
      </c>
      <c r="K20" s="10" t="e">
        <f>+#REF!</f>
        <v>#REF!</v>
      </c>
    </row>
    <row r="21" spans="4:24" hidden="1" x14ac:dyDescent="0.25">
      <c r="D21" s="57">
        <v>46268</v>
      </c>
      <c r="E21" s="28" t="s">
        <v>28</v>
      </c>
      <c r="F21" s="29">
        <v>0</v>
      </c>
      <c r="H21" s="2"/>
      <c r="J21" s="50" t="s">
        <v>28</v>
      </c>
      <c r="K21" s="10">
        <v>0</v>
      </c>
    </row>
    <row r="22" spans="4:24" ht="15.75" hidden="1" thickBot="1" x14ac:dyDescent="0.3">
      <c r="D22" s="58">
        <v>46270</v>
      </c>
      <c r="E22" s="59" t="s">
        <v>30</v>
      </c>
      <c r="F22" s="73">
        <v>0</v>
      </c>
      <c r="H22" s="2"/>
      <c r="J22" s="108" t="s">
        <v>30</v>
      </c>
      <c r="K22" s="109">
        <v>0</v>
      </c>
      <c r="U22" s="2"/>
    </row>
    <row r="23" spans="4:24" ht="15.75" hidden="1" thickBot="1" x14ac:dyDescent="0.3">
      <c r="D23" s="61">
        <v>46272</v>
      </c>
      <c r="E23" s="62" t="s">
        <v>29</v>
      </c>
      <c r="F23" s="60" t="e">
        <f>F20+F21-H16+23</f>
        <v>#REF!</v>
      </c>
      <c r="H23" s="2"/>
      <c r="J23" s="110" t="s">
        <v>29</v>
      </c>
      <c r="K23" s="111" t="e">
        <f>K20+K21-K17+23</f>
        <v>#REF!</v>
      </c>
      <c r="U23" s="2"/>
    </row>
    <row r="24" spans="4:24" ht="15.75" hidden="1" thickBot="1" x14ac:dyDescent="0.3">
      <c r="F24" s="20" t="e">
        <f>+F22+F23</f>
        <v>#REF!</v>
      </c>
      <c r="H24" s="2"/>
      <c r="J24" s="50"/>
      <c r="K24" s="51" t="e">
        <f>+K22+K23</f>
        <v>#REF!</v>
      </c>
      <c r="U24" s="2"/>
    </row>
    <row r="25" spans="4:24" ht="15.75" thickBot="1" x14ac:dyDescent="0.3">
      <c r="H25" s="2"/>
      <c r="J25" s="112" t="s">
        <v>56</v>
      </c>
      <c r="K25" s="114">
        <f>+K17/K18</f>
        <v>1485.2150537634411</v>
      </c>
      <c r="U25" s="2"/>
      <c r="X25" s="56"/>
    </row>
    <row r="26" spans="4:24" ht="15.75" thickBot="1" x14ac:dyDescent="0.3">
      <c r="E26" s="90" t="s">
        <v>61</v>
      </c>
      <c r="F26" s="91"/>
      <c r="H26" s="2"/>
      <c r="J26" s="121" t="s">
        <v>59</v>
      </c>
      <c r="K26" s="123">
        <f>F31+K25</f>
        <v>3948.6465053763445</v>
      </c>
      <c r="U26" s="3"/>
    </row>
    <row r="27" spans="4:24" ht="15.75" thickBot="1" x14ac:dyDescent="0.3">
      <c r="E27" s="23" t="s">
        <v>6</v>
      </c>
      <c r="F27" s="23">
        <f>+'Ventas Comida - Inventario'!G24</f>
        <v>191</v>
      </c>
      <c r="H27" s="2"/>
      <c r="J27" s="122"/>
      <c r="K27" s="124"/>
    </row>
    <row r="28" spans="4:24" x14ac:dyDescent="0.25">
      <c r="E28" s="21" t="s">
        <v>10</v>
      </c>
      <c r="F28" s="21">
        <f>+'Ventas Comida - Inventario'!I24</f>
        <v>0</v>
      </c>
      <c r="H28" s="2"/>
      <c r="K28" s="128"/>
    </row>
    <row r="29" spans="4:24" ht="15.75" thickBot="1" x14ac:dyDescent="0.3">
      <c r="E29" s="22" t="s">
        <v>11</v>
      </c>
      <c r="F29" s="22">
        <f>+'Ventas Comida - Inventario'!H24</f>
        <v>57</v>
      </c>
      <c r="H29" s="2"/>
      <c r="S29" s="3"/>
      <c r="U29" s="3"/>
    </row>
    <row r="30" spans="4:24" ht="15.75" thickBot="1" x14ac:dyDescent="0.3">
      <c r="E30" s="25" t="s">
        <v>9</v>
      </c>
      <c r="F30" s="26">
        <f>SUM(F27:F29)</f>
        <v>248</v>
      </c>
      <c r="H30" s="2"/>
    </row>
    <row r="31" spans="4:24" ht="15.75" thickBot="1" x14ac:dyDescent="0.3">
      <c r="E31" s="24" t="s">
        <v>58</v>
      </c>
      <c r="F31" s="113">
        <f>((H16)/F30)</f>
        <v>2463.4314516129034</v>
      </c>
      <c r="H31" s="2"/>
    </row>
    <row r="32" spans="4:24" x14ac:dyDescent="0.25">
      <c r="H32" s="2"/>
    </row>
    <row r="33" spans="8:8" x14ac:dyDescent="0.25">
      <c r="H33" s="2"/>
    </row>
    <row r="34" spans="8:8" x14ac:dyDescent="0.25">
      <c r="H34" s="2"/>
    </row>
    <row r="35" spans="8:8" x14ac:dyDescent="0.25">
      <c r="H35" s="2"/>
    </row>
    <row r="36" spans="8:8" x14ac:dyDescent="0.25">
      <c r="H36" s="2"/>
    </row>
    <row r="37" spans="8:8" x14ac:dyDescent="0.25">
      <c r="H37" s="2"/>
    </row>
    <row r="38" spans="8:8" x14ac:dyDescent="0.25">
      <c r="H38" s="2"/>
    </row>
    <row r="39" spans="8:8" x14ac:dyDescent="0.25">
      <c r="H39" s="2"/>
    </row>
    <row r="40" spans="8:8" x14ac:dyDescent="0.25">
      <c r="H40" s="2"/>
    </row>
    <row r="41" spans="8:8" x14ac:dyDescent="0.25">
      <c r="H41" s="2"/>
    </row>
  </sheetData>
  <mergeCells count="7">
    <mergeCell ref="E6:F6"/>
    <mergeCell ref="E26:F26"/>
    <mergeCell ref="J6:K6"/>
    <mergeCell ref="J13:J15"/>
    <mergeCell ref="K13:K15"/>
    <mergeCell ref="J26:J27"/>
    <mergeCell ref="K26:K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9D0D-5204-449C-807F-5EBD74EF5B5C}">
  <dimension ref="E5:P66"/>
  <sheetViews>
    <sheetView tabSelected="1" topLeftCell="B1" workbookViewId="0">
      <pane xSplit="3" ySplit="7" topLeftCell="E8" activePane="bottomRight" state="frozen"/>
      <selection activeCell="B1" sqref="B1"/>
      <selection pane="topRight" activeCell="F1" sqref="F1"/>
      <selection pane="bottomLeft" activeCell="B8" sqref="B8"/>
      <selection pane="bottomRight" activeCell="K25" sqref="K25"/>
    </sheetView>
  </sheetViews>
  <sheetFormatPr baseColWidth="10" defaultRowHeight="15" x14ac:dyDescent="0.25"/>
  <cols>
    <col min="1" max="3" width="11.42578125" style="30"/>
    <col min="4" max="4" width="26.7109375" style="30" customWidth="1"/>
    <col min="5" max="5" width="33.85546875" style="31" bestFit="1" customWidth="1"/>
    <col min="6" max="6" width="41" style="32" customWidth="1"/>
    <col min="7" max="9" width="11.140625" style="32" customWidth="1"/>
    <col min="10" max="10" width="19.5703125" style="30" customWidth="1"/>
    <col min="11" max="12" width="11.42578125" style="30"/>
    <col min="13" max="14" width="14.5703125" style="30" bestFit="1" customWidth="1"/>
    <col min="15" max="16" width="12" style="30" bestFit="1" customWidth="1"/>
    <col min="17" max="16384" width="11.42578125" style="30"/>
  </cols>
  <sheetData>
    <row r="5" spans="5:15" ht="15.75" thickBot="1" x14ac:dyDescent="0.3"/>
    <row r="6" spans="5:15" ht="15.75" thickBot="1" x14ac:dyDescent="0.3">
      <c r="E6" s="92" t="s">
        <v>12</v>
      </c>
      <c r="F6" s="96" t="s">
        <v>16</v>
      </c>
      <c r="G6" s="40">
        <v>5000</v>
      </c>
      <c r="H6" s="41">
        <v>7500</v>
      </c>
      <c r="I6" s="41">
        <v>6000</v>
      </c>
      <c r="J6" s="94" t="s">
        <v>20</v>
      </c>
      <c r="K6" s="94" t="s">
        <v>23</v>
      </c>
      <c r="L6" s="42" t="s">
        <v>21</v>
      </c>
      <c r="M6" s="33" t="e">
        <f>+J9+J10+J11+J12+J13+J14+J18+J15+J16+J17+#REF!+J20+J21+J23+#REF!+J24+J26+J27+J28+J30+J31+J33+J34+J36</f>
        <v>#REF!</v>
      </c>
      <c r="N6" s="52" t="s">
        <v>25</v>
      </c>
      <c r="O6" s="53">
        <f>+J35</f>
        <v>0</v>
      </c>
    </row>
    <row r="7" spans="5:15" ht="15.75" thickBot="1" x14ac:dyDescent="0.3">
      <c r="E7" s="93"/>
      <c r="F7" s="97"/>
      <c r="G7" s="43" t="s">
        <v>17</v>
      </c>
      <c r="H7" s="43" t="s">
        <v>18</v>
      </c>
      <c r="I7" s="43" t="s">
        <v>19</v>
      </c>
      <c r="J7" s="95"/>
      <c r="K7" s="95"/>
      <c r="L7" s="44" t="s">
        <v>22</v>
      </c>
      <c r="M7" s="34">
        <f>+J32</f>
        <v>0</v>
      </c>
    </row>
    <row r="8" spans="5:15" ht="15.75" thickBot="1" x14ac:dyDescent="0.3">
      <c r="E8" s="68">
        <v>46271</v>
      </c>
      <c r="F8" s="69" t="s">
        <v>31</v>
      </c>
      <c r="G8" s="69">
        <v>202</v>
      </c>
      <c r="H8" s="69">
        <v>36</v>
      </c>
      <c r="I8" s="69">
        <v>16</v>
      </c>
      <c r="J8" s="70" t="s">
        <v>32</v>
      </c>
      <c r="K8" s="66" t="s">
        <v>32</v>
      </c>
      <c r="L8" s="64"/>
      <c r="M8" s="65"/>
    </row>
    <row r="9" spans="5:15" x14ac:dyDescent="0.25">
      <c r="E9" s="38">
        <v>46270</v>
      </c>
      <c r="F9" s="35" t="s">
        <v>13</v>
      </c>
      <c r="G9" s="36">
        <v>0</v>
      </c>
      <c r="H9" s="36">
        <v>17</v>
      </c>
      <c r="I9" s="36">
        <v>0</v>
      </c>
      <c r="J9" s="37">
        <f>(G9*$G$6)+(H9*$H$6)+(I9*$I$6)</f>
        <v>127500</v>
      </c>
      <c r="K9" s="54" t="s">
        <v>25</v>
      </c>
      <c r="L9" s="45">
        <f>+J9</f>
        <v>127500</v>
      </c>
      <c r="M9" s="48" t="e">
        <f>+M7+M6+O6</f>
        <v>#REF!</v>
      </c>
    </row>
    <row r="10" spans="5:15" x14ac:dyDescent="0.25">
      <c r="E10" s="38">
        <v>46274</v>
      </c>
      <c r="F10" s="35" t="s">
        <v>14</v>
      </c>
      <c r="G10" s="36">
        <v>21</v>
      </c>
      <c r="H10" s="36">
        <v>0</v>
      </c>
      <c r="I10" s="36">
        <v>0</v>
      </c>
      <c r="J10" s="37">
        <f>(G10*$G$6)+(H10*$H$6)+(I10*$I$6)</f>
        <v>105000</v>
      </c>
      <c r="K10" s="39" t="s">
        <v>25</v>
      </c>
      <c r="L10" s="45">
        <f t="shared" ref="L10:L19" si="0">+J10+L9</f>
        <v>232500</v>
      </c>
      <c r="M10" s="46"/>
      <c r="N10" s="47"/>
    </row>
    <row r="11" spans="5:15" x14ac:dyDescent="0.25">
      <c r="E11" s="38">
        <v>46278</v>
      </c>
      <c r="F11" s="35" t="s">
        <v>33</v>
      </c>
      <c r="G11" s="36">
        <v>21</v>
      </c>
      <c r="H11" s="36">
        <v>0</v>
      </c>
      <c r="I11" s="36">
        <v>0</v>
      </c>
      <c r="J11" s="37">
        <f>(G11*$G$5)+(H11*$H$6)+(I11*$I$6)</f>
        <v>0</v>
      </c>
      <c r="K11" s="67" t="s">
        <v>32</v>
      </c>
      <c r="L11" s="45">
        <f t="shared" si="0"/>
        <v>232500</v>
      </c>
    </row>
    <row r="12" spans="5:15" x14ac:dyDescent="0.25">
      <c r="E12" s="38">
        <v>46279</v>
      </c>
      <c r="F12" s="35" t="s">
        <v>15</v>
      </c>
      <c r="G12" s="36">
        <v>2</v>
      </c>
      <c r="H12" s="36">
        <v>0</v>
      </c>
      <c r="I12" s="36">
        <v>0</v>
      </c>
      <c r="J12" s="37">
        <f>(G12*$G$6)+(H12*$H$6)+(I12*$I$6)</f>
        <v>10000</v>
      </c>
      <c r="K12" s="55" t="s">
        <v>22</v>
      </c>
      <c r="L12" s="45">
        <f t="shared" si="0"/>
        <v>242500</v>
      </c>
      <c r="M12" s="47"/>
    </row>
    <row r="13" spans="5:15" x14ac:dyDescent="0.25">
      <c r="E13" s="38">
        <v>46280</v>
      </c>
      <c r="F13" s="35" t="s">
        <v>34</v>
      </c>
      <c r="G13" s="4">
        <v>21</v>
      </c>
      <c r="H13" s="4">
        <v>0</v>
      </c>
      <c r="I13" s="4">
        <v>0</v>
      </c>
      <c r="J13" s="37">
        <f>(G13*$G$5)+(H13*$H$6)+(I13*$I$6)</f>
        <v>0</v>
      </c>
      <c r="K13" s="67" t="s">
        <v>32</v>
      </c>
      <c r="L13" s="45">
        <f t="shared" si="0"/>
        <v>242500</v>
      </c>
    </row>
    <row r="14" spans="5:15" x14ac:dyDescent="0.25">
      <c r="E14" s="38">
        <v>46281</v>
      </c>
      <c r="F14" s="35" t="s">
        <v>14</v>
      </c>
      <c r="G14" s="36">
        <v>23</v>
      </c>
      <c r="H14" s="36">
        <v>0</v>
      </c>
      <c r="I14" s="36">
        <v>0</v>
      </c>
      <c r="J14" s="37">
        <f>(G14*$G$6)+(H14*$H$6)+(I14*$I$6)</f>
        <v>115000</v>
      </c>
      <c r="K14" s="39" t="s">
        <v>25</v>
      </c>
      <c r="L14" s="45">
        <f t="shared" si="0"/>
        <v>357500</v>
      </c>
    </row>
    <row r="15" spans="5:15" x14ac:dyDescent="0.25">
      <c r="E15" s="38">
        <v>46286</v>
      </c>
      <c r="F15" s="35" t="s">
        <v>33</v>
      </c>
      <c r="G15" s="4">
        <v>21</v>
      </c>
      <c r="H15" s="4">
        <v>0</v>
      </c>
      <c r="I15" s="4">
        <v>0</v>
      </c>
      <c r="J15" s="37">
        <f>(G15*$G$5)+(H15*$H$6)+(I15*$I$6)</f>
        <v>0</v>
      </c>
      <c r="K15" s="67" t="s">
        <v>32</v>
      </c>
      <c r="L15" s="45">
        <f t="shared" si="0"/>
        <v>357500</v>
      </c>
    </row>
    <row r="16" spans="5:15" x14ac:dyDescent="0.25">
      <c r="E16" s="38">
        <v>46288</v>
      </c>
      <c r="F16" s="35" t="s">
        <v>14</v>
      </c>
      <c r="G16" s="36">
        <v>21</v>
      </c>
      <c r="H16" s="36">
        <v>0</v>
      </c>
      <c r="I16" s="36">
        <v>1</v>
      </c>
      <c r="J16" s="37">
        <f>(G16*$G$6)+(H16*$H$6)+(I16*$I$5)</f>
        <v>105000</v>
      </c>
      <c r="K16" s="39" t="s">
        <v>25</v>
      </c>
      <c r="L16" s="45">
        <f t="shared" si="0"/>
        <v>462500</v>
      </c>
    </row>
    <row r="17" spans="5:16" x14ac:dyDescent="0.25">
      <c r="E17" s="38">
        <v>46290</v>
      </c>
      <c r="F17" s="35" t="s">
        <v>34</v>
      </c>
      <c r="G17" s="4">
        <v>21</v>
      </c>
      <c r="H17" s="4">
        <v>0</v>
      </c>
      <c r="I17" s="4">
        <v>0</v>
      </c>
      <c r="J17" s="37">
        <f>(G17*$G$5)+(H17*$H$6)+(I17*$I$6)</f>
        <v>0</v>
      </c>
      <c r="K17" s="67" t="s">
        <v>32</v>
      </c>
      <c r="L17" s="45">
        <f t="shared" si="0"/>
        <v>462500</v>
      </c>
    </row>
    <row r="18" spans="5:16" x14ac:dyDescent="0.25">
      <c r="E18" s="38">
        <v>46293</v>
      </c>
      <c r="F18" s="35" t="s">
        <v>14</v>
      </c>
      <c r="G18" s="36">
        <v>21</v>
      </c>
      <c r="H18" s="36">
        <v>0</v>
      </c>
      <c r="I18" s="36">
        <v>0</v>
      </c>
      <c r="J18" s="37">
        <f>(G18*$G$6)+(H18*$H$6)+(I18*$I$6)</f>
        <v>105000</v>
      </c>
      <c r="K18" s="39" t="s">
        <v>25</v>
      </c>
      <c r="L18" s="45">
        <f t="shared" si="0"/>
        <v>567500</v>
      </c>
    </row>
    <row r="19" spans="5:16" x14ac:dyDescent="0.25">
      <c r="E19" s="38">
        <v>46293</v>
      </c>
      <c r="F19" s="35" t="s">
        <v>13</v>
      </c>
      <c r="G19" s="36">
        <v>0</v>
      </c>
      <c r="H19" s="36">
        <v>19</v>
      </c>
      <c r="I19" s="36">
        <v>0</v>
      </c>
      <c r="J19" s="37">
        <f>(G19*$G$6)+(H19*$H$6)+(I19*$I$6)</f>
        <v>142500</v>
      </c>
      <c r="K19" s="55" t="s">
        <v>25</v>
      </c>
      <c r="L19" s="45">
        <f t="shared" si="0"/>
        <v>710000</v>
      </c>
    </row>
    <row r="20" spans="5:16" x14ac:dyDescent="0.25">
      <c r="E20" s="38">
        <v>46293</v>
      </c>
      <c r="F20" s="69" t="s">
        <v>31</v>
      </c>
      <c r="G20" s="71">
        <f>+G8-G9-G10-G11-G12-G13-G14-G15-G16-G17-G18</f>
        <v>30</v>
      </c>
      <c r="H20" s="71">
        <f>+H8-H9-H10-H11-H12-H13-H14-H15-H16-H17-H18-H19</f>
        <v>0</v>
      </c>
      <c r="I20" s="71">
        <f>+I8-I9-I10-I11-I12-I13-I14-I15-I16-I17-I18</f>
        <v>15</v>
      </c>
      <c r="J20" s="72">
        <f>SUM(J9:J19)</f>
        <v>710000</v>
      </c>
      <c r="K20" s="67" t="s">
        <v>35</v>
      </c>
      <c r="L20" s="45"/>
    </row>
    <row r="21" spans="5:16" x14ac:dyDescent="0.25">
      <c r="E21" s="38">
        <v>46293</v>
      </c>
      <c r="F21" s="35" t="s">
        <v>33</v>
      </c>
      <c r="G21" s="4">
        <v>21</v>
      </c>
      <c r="H21" s="4">
        <v>0</v>
      </c>
      <c r="I21" s="4">
        <v>0</v>
      </c>
      <c r="J21" s="37">
        <v>0</v>
      </c>
      <c r="K21" s="67" t="s">
        <v>32</v>
      </c>
      <c r="L21" s="45"/>
    </row>
    <row r="22" spans="5:16" x14ac:dyDescent="0.25">
      <c r="E22" s="38">
        <v>46293</v>
      </c>
      <c r="F22" s="35" t="s">
        <v>15</v>
      </c>
      <c r="G22" s="1">
        <v>2</v>
      </c>
      <c r="H22" s="1">
        <v>0</v>
      </c>
      <c r="I22" s="1">
        <v>0</v>
      </c>
      <c r="J22" s="37"/>
      <c r="K22" s="78" t="s">
        <v>25</v>
      </c>
      <c r="L22" s="45"/>
    </row>
    <row r="23" spans="5:16" ht="15.75" thickBot="1" x14ac:dyDescent="0.3">
      <c r="E23" s="79">
        <v>46294</v>
      </c>
      <c r="F23" s="69" t="s">
        <v>31</v>
      </c>
      <c r="G23" s="71">
        <f>+G20-G21-G22</f>
        <v>7</v>
      </c>
      <c r="H23" s="71">
        <f>+H20-H21</f>
        <v>0</v>
      </c>
      <c r="I23" s="71">
        <f>I20-I21</f>
        <v>15</v>
      </c>
      <c r="J23" s="80" t="s">
        <v>32</v>
      </c>
      <c r="K23" s="81" t="s">
        <v>32</v>
      </c>
      <c r="L23" s="45"/>
    </row>
    <row r="24" spans="5:16" ht="15.75" thickBot="1" x14ac:dyDescent="0.3">
      <c r="E24" s="84">
        <v>46294</v>
      </c>
      <c r="F24" s="85" t="s">
        <v>36</v>
      </c>
      <c r="G24" s="86">
        <f>((4*24)+4)+((3*24)+19)</f>
        <v>191</v>
      </c>
      <c r="H24" s="86">
        <f>(2*24)+9</f>
        <v>57</v>
      </c>
      <c r="I24" s="86">
        <v>0</v>
      </c>
      <c r="J24" s="125">
        <f>+'Dia Producción'!H16</f>
        <v>610931</v>
      </c>
      <c r="K24" s="87">
        <f>+'Dia Producción'!F31</f>
        <v>2463.4314516129034</v>
      </c>
      <c r="L24" s="98" t="s">
        <v>45</v>
      </c>
      <c r="M24" s="99"/>
    </row>
    <row r="25" spans="5:16" x14ac:dyDescent="0.25">
      <c r="E25" s="82">
        <v>46294</v>
      </c>
      <c r="F25" s="69" t="s">
        <v>31</v>
      </c>
      <c r="G25" s="71">
        <f>+G23+G24</f>
        <v>198</v>
      </c>
      <c r="H25" s="71">
        <f t="shared" ref="H25:I25" si="1">+H23+H24</f>
        <v>57</v>
      </c>
      <c r="I25" s="71">
        <f t="shared" si="1"/>
        <v>15</v>
      </c>
      <c r="K25" s="83"/>
      <c r="L25" s="45"/>
    </row>
    <row r="26" spans="5:16" x14ac:dyDescent="0.25">
      <c r="E26" s="38"/>
      <c r="F26" s="35"/>
      <c r="G26" s="4"/>
      <c r="H26" s="4"/>
      <c r="I26" s="4"/>
      <c r="J26" s="37">
        <f t="shared" ref="J26:J65" si="2">(G26*$G$6)+(H26*$H$6)+(I26*$I$6)</f>
        <v>0</v>
      </c>
      <c r="K26" s="39"/>
      <c r="L26" s="45"/>
    </row>
    <row r="27" spans="5:16" x14ac:dyDescent="0.25">
      <c r="E27" s="38"/>
      <c r="F27" s="35"/>
      <c r="G27" s="4"/>
      <c r="H27" s="4"/>
      <c r="I27" s="4"/>
      <c r="J27" s="37">
        <f t="shared" si="2"/>
        <v>0</v>
      </c>
      <c r="K27" s="39"/>
      <c r="L27" s="45"/>
    </row>
    <row r="28" spans="5:16" x14ac:dyDescent="0.25">
      <c r="E28" s="38"/>
      <c r="F28" s="35"/>
      <c r="G28" s="4"/>
      <c r="H28" s="4"/>
      <c r="I28" s="4"/>
      <c r="J28" s="37">
        <f t="shared" si="2"/>
        <v>0</v>
      </c>
      <c r="K28" s="39"/>
      <c r="L28" s="45"/>
    </row>
    <row r="29" spans="5:16" x14ac:dyDescent="0.25">
      <c r="E29" s="38"/>
      <c r="F29" s="35"/>
      <c r="G29" s="4"/>
      <c r="H29" s="4"/>
      <c r="I29" s="4"/>
      <c r="J29" s="37">
        <f t="shared" si="2"/>
        <v>0</v>
      </c>
      <c r="K29" s="39"/>
      <c r="L29" s="45"/>
    </row>
    <row r="30" spans="5:16" x14ac:dyDescent="0.25">
      <c r="E30" s="38"/>
      <c r="F30" s="35"/>
      <c r="G30" s="4"/>
      <c r="H30" s="4"/>
      <c r="I30" s="4"/>
      <c r="J30" s="37">
        <f t="shared" si="2"/>
        <v>0</v>
      </c>
      <c r="K30" s="39"/>
      <c r="L30" s="45"/>
      <c r="N30" s="46"/>
    </row>
    <row r="31" spans="5:16" x14ac:dyDescent="0.25">
      <c r="E31" s="38"/>
      <c r="F31" s="35"/>
      <c r="G31" s="4"/>
      <c r="H31" s="4"/>
      <c r="I31" s="4"/>
      <c r="J31" s="37">
        <f t="shared" si="2"/>
        <v>0</v>
      </c>
      <c r="K31" s="39"/>
      <c r="L31" s="45"/>
      <c r="N31" s="46"/>
      <c r="P31" s="46"/>
    </row>
    <row r="32" spans="5:16" x14ac:dyDescent="0.25">
      <c r="E32" s="38"/>
      <c r="F32" s="35"/>
      <c r="G32" s="4"/>
      <c r="H32" s="4"/>
      <c r="I32" s="4"/>
      <c r="J32" s="37">
        <f t="shared" si="2"/>
        <v>0</v>
      </c>
      <c r="K32" s="39"/>
      <c r="L32" s="45"/>
      <c r="N32" s="46"/>
      <c r="P32" s="46"/>
    </row>
    <row r="33" spans="5:16" x14ac:dyDescent="0.25">
      <c r="E33" s="38"/>
      <c r="F33" s="35"/>
      <c r="G33" s="4"/>
      <c r="H33" s="4"/>
      <c r="I33" s="4"/>
      <c r="J33" s="37">
        <f t="shared" si="2"/>
        <v>0</v>
      </c>
      <c r="K33" s="39"/>
      <c r="L33" s="45"/>
      <c r="N33" s="47"/>
      <c r="P33" s="47"/>
    </row>
    <row r="34" spans="5:16" x14ac:dyDescent="0.25">
      <c r="E34" s="38"/>
      <c r="F34" s="35"/>
      <c r="G34" s="4"/>
      <c r="H34" s="4"/>
      <c r="I34" s="4"/>
      <c r="J34" s="37">
        <f t="shared" si="2"/>
        <v>0</v>
      </c>
      <c r="K34" s="39"/>
      <c r="L34" s="45"/>
      <c r="N34" s="46"/>
      <c r="O34" s="46"/>
      <c r="P34" s="47"/>
    </row>
    <row r="35" spans="5:16" x14ac:dyDescent="0.25">
      <c r="E35" s="38"/>
      <c r="F35" s="35"/>
      <c r="G35" s="4"/>
      <c r="H35" s="4"/>
      <c r="I35" s="4"/>
      <c r="J35" s="37">
        <f t="shared" si="2"/>
        <v>0</v>
      </c>
      <c r="K35" s="39"/>
      <c r="L35" s="45"/>
      <c r="N35" s="46"/>
      <c r="O35" s="46"/>
      <c r="P35" s="47"/>
    </row>
    <row r="36" spans="5:16" x14ac:dyDescent="0.25">
      <c r="E36" s="38"/>
      <c r="F36" s="35"/>
      <c r="G36" s="4"/>
      <c r="H36" s="4"/>
      <c r="I36" s="4"/>
      <c r="J36" s="37">
        <f t="shared" si="2"/>
        <v>0</v>
      </c>
      <c r="K36" s="39"/>
      <c r="L36" s="45"/>
      <c r="N36" s="47"/>
      <c r="P36" s="47"/>
    </row>
    <row r="37" spans="5:16" x14ac:dyDescent="0.25">
      <c r="G37" s="4"/>
      <c r="H37" s="4"/>
      <c r="I37" s="4"/>
      <c r="J37" s="37">
        <f t="shared" si="2"/>
        <v>0</v>
      </c>
      <c r="K37" s="63"/>
      <c r="L37" s="45"/>
    </row>
    <row r="38" spans="5:16" x14ac:dyDescent="0.25">
      <c r="E38" s="38"/>
      <c r="F38" s="35"/>
      <c r="G38" s="4"/>
      <c r="H38" s="4"/>
      <c r="I38" s="4"/>
      <c r="J38" s="37">
        <f t="shared" si="2"/>
        <v>0</v>
      </c>
      <c r="K38" s="49"/>
      <c r="L38" s="45"/>
    </row>
    <row r="39" spans="5:16" x14ac:dyDescent="0.25">
      <c r="E39" s="38"/>
      <c r="F39" s="35"/>
      <c r="G39" s="4"/>
      <c r="H39" s="4"/>
      <c r="I39" s="4"/>
      <c r="J39" s="37">
        <f t="shared" si="2"/>
        <v>0</v>
      </c>
      <c r="K39" s="49"/>
      <c r="L39" s="45"/>
    </row>
    <row r="40" spans="5:16" x14ac:dyDescent="0.25">
      <c r="E40" s="38"/>
      <c r="F40" s="35"/>
      <c r="G40" s="4"/>
      <c r="H40" s="4"/>
      <c r="I40" s="4"/>
      <c r="J40" s="37">
        <f t="shared" si="2"/>
        <v>0</v>
      </c>
      <c r="K40" s="49"/>
      <c r="L40" s="45"/>
    </row>
    <row r="41" spans="5:16" x14ac:dyDescent="0.25">
      <c r="E41" s="38"/>
      <c r="F41" s="35"/>
      <c r="G41" s="4"/>
      <c r="H41" s="4"/>
      <c r="I41" s="4"/>
      <c r="J41" s="37">
        <f t="shared" si="2"/>
        <v>0</v>
      </c>
      <c r="K41" s="49"/>
      <c r="L41" s="45"/>
    </row>
    <row r="42" spans="5:16" x14ac:dyDescent="0.25">
      <c r="E42" s="38"/>
      <c r="F42" s="35"/>
      <c r="G42" s="4"/>
      <c r="H42" s="4"/>
      <c r="I42" s="4"/>
      <c r="J42" s="37">
        <f t="shared" si="2"/>
        <v>0</v>
      </c>
      <c r="K42" s="49"/>
      <c r="L42" s="45"/>
    </row>
    <row r="43" spans="5:16" x14ac:dyDescent="0.25">
      <c r="E43" s="38"/>
      <c r="F43" s="35"/>
      <c r="G43" s="4"/>
      <c r="H43" s="4"/>
      <c r="I43" s="4"/>
      <c r="J43" s="37">
        <f t="shared" si="2"/>
        <v>0</v>
      </c>
      <c r="K43" s="49"/>
      <c r="L43" s="45"/>
    </row>
    <row r="44" spans="5:16" x14ac:dyDescent="0.25">
      <c r="E44" s="38"/>
      <c r="F44" s="35"/>
      <c r="G44" s="4"/>
      <c r="H44" s="4"/>
      <c r="I44" s="4"/>
      <c r="J44" s="37">
        <f t="shared" si="2"/>
        <v>0</v>
      </c>
      <c r="K44" s="49"/>
      <c r="L44" s="45"/>
    </row>
    <row r="45" spans="5:16" x14ac:dyDescent="0.25">
      <c r="E45" s="38"/>
      <c r="F45" s="35"/>
      <c r="G45" s="4"/>
      <c r="H45" s="4"/>
      <c r="I45" s="4"/>
      <c r="J45" s="37">
        <f t="shared" si="2"/>
        <v>0</v>
      </c>
      <c r="K45" s="49"/>
      <c r="L45" s="45"/>
    </row>
    <row r="46" spans="5:16" x14ac:dyDescent="0.25">
      <c r="E46" s="38"/>
      <c r="F46" s="35"/>
      <c r="G46" s="4"/>
      <c r="H46" s="4"/>
      <c r="I46" s="4"/>
      <c r="J46" s="37">
        <f t="shared" si="2"/>
        <v>0</v>
      </c>
      <c r="K46" s="49"/>
      <c r="L46" s="45"/>
    </row>
    <row r="47" spans="5:16" x14ac:dyDescent="0.25">
      <c r="E47" s="38"/>
      <c r="F47" s="35"/>
      <c r="G47" s="4"/>
      <c r="H47" s="4"/>
      <c r="I47" s="4"/>
      <c r="J47" s="37">
        <f t="shared" si="2"/>
        <v>0</v>
      </c>
      <c r="K47" s="49"/>
      <c r="L47" s="45"/>
    </row>
    <row r="48" spans="5:16" x14ac:dyDescent="0.25">
      <c r="E48" s="38"/>
      <c r="F48" s="35"/>
      <c r="G48" s="4"/>
      <c r="H48" s="4"/>
      <c r="I48" s="4"/>
      <c r="J48" s="37">
        <f t="shared" si="2"/>
        <v>0</v>
      </c>
      <c r="K48" s="49"/>
      <c r="L48" s="45"/>
    </row>
    <row r="49" spans="5:12" x14ac:dyDescent="0.25">
      <c r="E49" s="38"/>
      <c r="F49" s="35"/>
      <c r="G49" s="4"/>
      <c r="H49" s="4"/>
      <c r="I49" s="4"/>
      <c r="J49" s="37">
        <f t="shared" si="2"/>
        <v>0</v>
      </c>
      <c r="K49" s="49"/>
      <c r="L49" s="45"/>
    </row>
    <row r="50" spans="5:12" x14ac:dyDescent="0.25">
      <c r="E50" s="38"/>
      <c r="F50" s="35"/>
      <c r="G50" s="4"/>
      <c r="H50" s="4"/>
      <c r="I50" s="4"/>
      <c r="J50" s="37">
        <f t="shared" si="2"/>
        <v>0</v>
      </c>
      <c r="K50" s="49"/>
      <c r="L50" s="45"/>
    </row>
    <row r="51" spans="5:12" x14ac:dyDescent="0.25">
      <c r="E51" s="38"/>
      <c r="F51" s="35"/>
      <c r="G51" s="4"/>
      <c r="H51" s="4"/>
      <c r="I51" s="4"/>
      <c r="J51" s="37">
        <f t="shared" si="2"/>
        <v>0</v>
      </c>
      <c r="K51" s="49"/>
      <c r="L51" s="45"/>
    </row>
    <row r="52" spans="5:12" x14ac:dyDescent="0.25">
      <c r="E52" s="38"/>
      <c r="F52" s="35"/>
      <c r="G52" s="4"/>
      <c r="H52" s="4"/>
      <c r="I52" s="4"/>
      <c r="J52" s="37">
        <f t="shared" si="2"/>
        <v>0</v>
      </c>
      <c r="K52" s="49"/>
      <c r="L52" s="45"/>
    </row>
    <row r="53" spans="5:12" x14ac:dyDescent="0.25">
      <c r="E53" s="38"/>
      <c r="F53" s="35"/>
      <c r="G53" s="4"/>
      <c r="H53" s="4"/>
      <c r="I53" s="4"/>
      <c r="J53" s="37">
        <f t="shared" si="2"/>
        <v>0</v>
      </c>
      <c r="K53" s="49"/>
      <c r="L53" s="45"/>
    </row>
    <row r="54" spans="5:12" x14ac:dyDescent="0.25">
      <c r="E54" s="38"/>
      <c r="F54" s="35"/>
      <c r="G54" s="4"/>
      <c r="H54" s="4"/>
      <c r="I54" s="4"/>
      <c r="J54" s="37">
        <f t="shared" si="2"/>
        <v>0</v>
      </c>
      <c r="K54" s="49"/>
      <c r="L54" s="45"/>
    </row>
    <row r="55" spans="5:12" x14ac:dyDescent="0.25">
      <c r="E55" s="38"/>
      <c r="F55" s="35"/>
      <c r="G55" s="4"/>
      <c r="H55" s="4"/>
      <c r="I55" s="4"/>
      <c r="J55" s="37">
        <f t="shared" si="2"/>
        <v>0</v>
      </c>
      <c r="K55" s="49"/>
      <c r="L55" s="45"/>
    </row>
    <row r="56" spans="5:12" x14ac:dyDescent="0.25">
      <c r="E56" s="38"/>
      <c r="F56" s="35"/>
      <c r="G56" s="4"/>
      <c r="H56" s="4"/>
      <c r="I56" s="4"/>
      <c r="J56" s="37">
        <f t="shared" si="2"/>
        <v>0</v>
      </c>
      <c r="K56" s="49"/>
      <c r="L56" s="45"/>
    </row>
    <row r="57" spans="5:12" x14ac:dyDescent="0.25">
      <c r="E57" s="38"/>
      <c r="F57" s="35"/>
      <c r="G57" s="4"/>
      <c r="H57" s="4"/>
      <c r="I57" s="4"/>
      <c r="J57" s="37">
        <f t="shared" si="2"/>
        <v>0</v>
      </c>
      <c r="K57" s="49"/>
      <c r="L57" s="45"/>
    </row>
    <row r="58" spans="5:12" x14ac:dyDescent="0.25">
      <c r="E58" s="38"/>
      <c r="F58" s="35"/>
      <c r="G58" s="4"/>
      <c r="H58" s="4"/>
      <c r="I58" s="4"/>
      <c r="J58" s="37">
        <f t="shared" si="2"/>
        <v>0</v>
      </c>
      <c r="K58" s="49"/>
      <c r="L58" s="45"/>
    </row>
    <row r="59" spans="5:12" x14ac:dyDescent="0.25">
      <c r="E59" s="38"/>
      <c r="F59" s="35"/>
      <c r="G59" s="4"/>
      <c r="H59" s="4"/>
      <c r="I59" s="4"/>
      <c r="J59" s="37">
        <f t="shared" si="2"/>
        <v>0</v>
      </c>
      <c r="K59" s="49"/>
      <c r="L59" s="45"/>
    </row>
    <row r="60" spans="5:12" x14ac:dyDescent="0.25">
      <c r="E60" s="38"/>
      <c r="F60" s="35"/>
      <c r="G60" s="4"/>
      <c r="H60" s="4"/>
      <c r="I60" s="4"/>
      <c r="J60" s="37">
        <f t="shared" si="2"/>
        <v>0</v>
      </c>
      <c r="K60" s="49"/>
      <c r="L60" s="45"/>
    </row>
    <row r="61" spans="5:12" x14ac:dyDescent="0.25">
      <c r="E61" s="38"/>
      <c r="F61" s="35"/>
      <c r="G61" s="4"/>
      <c r="H61" s="4"/>
      <c r="I61" s="4"/>
      <c r="J61" s="37">
        <f t="shared" si="2"/>
        <v>0</v>
      </c>
      <c r="K61" s="49"/>
      <c r="L61" s="45"/>
    </row>
    <row r="62" spans="5:12" x14ac:dyDescent="0.25">
      <c r="E62" s="38"/>
      <c r="F62" s="35"/>
      <c r="G62" s="4"/>
      <c r="H62" s="4"/>
      <c r="I62" s="4"/>
      <c r="J62" s="37">
        <f t="shared" si="2"/>
        <v>0</v>
      </c>
      <c r="K62" s="49"/>
      <c r="L62" s="45"/>
    </row>
    <row r="63" spans="5:12" x14ac:dyDescent="0.25">
      <c r="E63" s="38"/>
      <c r="F63" s="35"/>
      <c r="G63" s="4"/>
      <c r="H63" s="4"/>
      <c r="I63" s="4"/>
      <c r="J63" s="37">
        <f t="shared" si="2"/>
        <v>0</v>
      </c>
      <c r="K63" s="49"/>
      <c r="L63" s="45"/>
    </row>
    <row r="64" spans="5:12" x14ac:dyDescent="0.25">
      <c r="E64" s="38"/>
      <c r="F64" s="35"/>
      <c r="G64" s="4"/>
      <c r="H64" s="4"/>
      <c r="I64" s="4"/>
      <c r="J64" s="37">
        <f t="shared" si="2"/>
        <v>0</v>
      </c>
      <c r="K64" s="49"/>
      <c r="L64" s="45"/>
    </row>
    <row r="65" spans="5:12" x14ac:dyDescent="0.25">
      <c r="E65" s="38"/>
      <c r="F65" s="35"/>
      <c r="G65" s="4"/>
      <c r="H65" s="4"/>
      <c r="I65" s="4"/>
      <c r="J65" s="37">
        <f t="shared" si="2"/>
        <v>0</v>
      </c>
      <c r="K65" s="49"/>
      <c r="L65" s="45"/>
    </row>
    <row r="66" spans="5:12" x14ac:dyDescent="0.25">
      <c r="J66" s="45">
        <f>SUBTOTAL(9,J9:J65)</f>
        <v>2030931</v>
      </c>
    </row>
  </sheetData>
  <autoFilter ref="E6:O65" xr:uid="{647E9D0D-5204-449C-807F-5EBD74EF5B5C}">
    <sortState xmlns:xlrd2="http://schemas.microsoft.com/office/spreadsheetml/2017/richdata2" ref="E9:O65">
      <sortCondition ref="E6:E65"/>
    </sortState>
  </autoFilter>
  <mergeCells count="5">
    <mergeCell ref="E6:E7"/>
    <mergeCell ref="F6:F7"/>
    <mergeCell ref="J6:J7"/>
    <mergeCell ref="K6:K7"/>
    <mergeCell ref="L24:M24"/>
  </mergeCells>
  <pageMargins left="0.7" right="0.7" top="0.75" bottom="0.75" header="0.3" footer="0.3"/>
  <ignoredErrors>
    <ignoredError sqref="J11:J17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 Producción</vt:lpstr>
      <vt:lpstr>Ventas Comida - 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Alvaro Torres Martinez</dc:creator>
  <cp:lastModifiedBy>Luis Alvaro Torres Martinez</cp:lastModifiedBy>
  <dcterms:created xsi:type="dcterms:W3CDTF">2026-05-26T12:34:31Z</dcterms:created>
  <dcterms:modified xsi:type="dcterms:W3CDTF">2026-10-16T00:16:06Z</dcterms:modified>
</cp:coreProperties>
</file>