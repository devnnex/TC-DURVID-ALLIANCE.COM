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0009297\Desktop\"/>
    </mc:Choice>
  </mc:AlternateContent>
  <xr:revisionPtr revIDLastSave="2187" documentId="8_{F63AF2FA-36A7-4674-902D-02D6BB5DC8D7}" xr6:coauthVersionLast="47" xr6:coauthVersionMax="47" xr10:uidLastSave="{D6268BF5-9C53-424E-9645-32B3905BB7CE}"/>
  <bookViews>
    <workbookView xWindow="-120" yWindow="-120" windowWidth="29040" windowHeight="15840" firstSheet="26" activeTab="26" xr2:uid="{00000000-000D-0000-FFFF-FFFF00000000}"/>
  </bookViews>
  <sheets>
    <sheet name="DESGRANADOS" sheetId="3" r:id="rId1"/>
    <sheet name="Salsa Tartara" sheetId="5" r:id="rId2"/>
    <sheet name="MASA PARA EMPANADAS" sheetId="27" r:id="rId3"/>
    <sheet name="PAN DE BONO" sheetId="25" r:id="rId4"/>
    <sheet name="PIZZETAS" sheetId="31" r:id="rId5"/>
    <sheet name="BURRITOS" sheetId="30" r:id="rId6"/>
    <sheet name="EMPANADAS" sheetId="7" r:id="rId7"/>
    <sheet name="HELADOS" sheetId="9" r:id="rId8"/>
    <sheet name="SYRUP SIMPLE" sheetId="12" r:id="rId9"/>
    <sheet name="SYRUP" sheetId="11" r:id="rId10"/>
    <sheet name="COCKTAIL" sheetId="10" r:id="rId11"/>
    <sheet name="PIÑA COLADA DE CAFE" sheetId="26" r:id="rId12"/>
    <sheet name="LIMONADA COCO" sheetId="29" r:id="rId13"/>
    <sheet name="LIMONADA CEREZADA" sheetId="28" r:id="rId14"/>
    <sheet name="MOCKTAIL" sheetId="13" r:id="rId15"/>
    <sheet name="DEDITOS DE QUESO" sheetId="14" r:id="rId16"/>
    <sheet name="DEDITOS DE SALCHICHA" sheetId="15" r:id="rId17"/>
    <sheet name="PARTFAIT" sheetId="24" r:id="rId18"/>
    <sheet name="FRESAS CON CREMA" sheetId="23" r:id="rId19"/>
    <sheet name="LATTE . LATTE VAINILLA " sheetId="16" r:id="rId20"/>
    <sheet name="MOCKA" sheetId="17" r:id="rId21"/>
    <sheet name="CAPUCHINO" sheetId="20" r:id="rId22"/>
    <sheet name="CHOCOLATE" sheetId="18" r:id="rId23"/>
    <sheet name="AMERICANO" sheetId="19" r:id="rId24"/>
    <sheet name="FRAPUCHINOS" sheetId="21" r:id="rId25"/>
    <sheet name="MALTEADAS" sheetId="22" r:id="rId26"/>
    <sheet name="MANTEQUILLA" sheetId="32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32" l="1"/>
  <c r="AG15" i="32"/>
  <c r="AG14" i="32"/>
  <c r="AG13" i="32"/>
  <c r="AG12" i="32"/>
  <c r="AG11" i="32"/>
  <c r="AG10" i="32"/>
  <c r="AG9" i="32"/>
  <c r="AG8" i="32"/>
  <c r="AG7" i="32"/>
  <c r="AG6" i="32"/>
  <c r="AG17" i="32" s="1"/>
  <c r="Z16" i="32"/>
  <c r="Z15" i="32"/>
  <c r="Z14" i="32"/>
  <c r="Z13" i="32"/>
  <c r="Z12" i="32"/>
  <c r="Z11" i="32"/>
  <c r="Z10" i="32"/>
  <c r="Z9" i="32"/>
  <c r="Z8" i="32"/>
  <c r="Z7" i="32"/>
  <c r="Z6" i="32"/>
  <c r="Z17" i="32" s="1"/>
  <c r="S10" i="32"/>
  <c r="S11" i="32"/>
  <c r="S12" i="32"/>
  <c r="S15" i="32"/>
  <c r="S14" i="32"/>
  <c r="S16" i="32"/>
  <c r="S13" i="32"/>
  <c r="S9" i="32"/>
  <c r="S8" i="32"/>
  <c r="S7" i="32"/>
  <c r="S6" i="32"/>
  <c r="S17" i="32" s="1"/>
  <c r="L19" i="32"/>
  <c r="L20" i="32"/>
  <c r="L10" i="32"/>
  <c r="L11" i="32"/>
  <c r="L8" i="32"/>
  <c r="L9" i="32"/>
  <c r="L12" i="32"/>
  <c r="L13" i="32"/>
  <c r="L14" i="32"/>
  <c r="L15" i="32"/>
  <c r="L16" i="32"/>
  <c r="L7" i="32"/>
  <c r="L6" i="32"/>
  <c r="L17" i="32"/>
  <c r="L14" i="31"/>
  <c r="L13" i="31"/>
  <c r="L8" i="31"/>
  <c r="L10" i="31"/>
  <c r="L11" i="31"/>
  <c r="L8" i="9"/>
  <c r="L16" i="31"/>
  <c r="L15" i="31"/>
  <c r="L12" i="31"/>
  <c r="L9" i="31"/>
  <c r="E8" i="31"/>
  <c r="L7" i="31"/>
  <c r="L6" i="31"/>
  <c r="L17" i="31" s="1"/>
  <c r="L12" i="30"/>
  <c r="L11" i="30"/>
  <c r="L10" i="30"/>
  <c r="L16" i="30"/>
  <c r="L15" i="30"/>
  <c r="L14" i="30"/>
  <c r="L13" i="30"/>
  <c r="L9" i="30"/>
  <c r="L8" i="30"/>
  <c r="E8" i="30"/>
  <c r="L7" i="30"/>
  <c r="L6" i="30"/>
  <c r="L17" i="30" s="1"/>
  <c r="L13" i="9"/>
  <c r="L6" i="29"/>
  <c r="L16" i="29"/>
  <c r="L15" i="29"/>
  <c r="L14" i="29"/>
  <c r="L13" i="29"/>
  <c r="L12" i="29"/>
  <c r="L11" i="29"/>
  <c r="L10" i="29"/>
  <c r="L9" i="29"/>
  <c r="L8" i="29"/>
  <c r="E8" i="29"/>
  <c r="L7" i="29"/>
  <c r="L17" i="29"/>
  <c r="L10" i="28"/>
  <c r="L8" i="28"/>
  <c r="L6" i="28"/>
  <c r="L16" i="28"/>
  <c r="L15" i="28"/>
  <c r="L14" i="28"/>
  <c r="L13" i="28"/>
  <c r="L12" i="28"/>
  <c r="L11" i="28"/>
  <c r="L9" i="28"/>
  <c r="E8" i="28"/>
  <c r="L7" i="28"/>
  <c r="L17" i="28"/>
  <c r="L11" i="25"/>
  <c r="L16" i="27"/>
  <c r="L15" i="27"/>
  <c r="L14" i="27"/>
  <c r="L13" i="27"/>
  <c r="L12" i="27"/>
  <c r="L11" i="27"/>
  <c r="L10" i="27"/>
  <c r="L9" i="27"/>
  <c r="L8" i="27"/>
  <c r="E8" i="27"/>
  <c r="L7" i="27"/>
  <c r="L6" i="27"/>
  <c r="L17" i="27" s="1"/>
  <c r="L8" i="25"/>
  <c r="L9" i="25"/>
  <c r="L10" i="25"/>
  <c r="L12" i="25"/>
  <c r="L13" i="25"/>
  <c r="L14" i="25"/>
  <c r="L15" i="25"/>
  <c r="L11" i="26"/>
  <c r="L7" i="26"/>
  <c r="L16" i="26"/>
  <c r="L15" i="26"/>
  <c r="L14" i="26"/>
  <c r="L13" i="26"/>
  <c r="L12" i="26"/>
  <c r="L10" i="26"/>
  <c r="L9" i="26"/>
  <c r="L8" i="26"/>
  <c r="E8" i="26"/>
  <c r="L6" i="26"/>
  <c r="L17" i="26" s="1"/>
  <c r="L16" i="25"/>
  <c r="E8" i="25"/>
  <c r="L7" i="25"/>
  <c r="L6" i="25"/>
  <c r="L17" i="25" s="1"/>
  <c r="L11" i="3"/>
  <c r="L9" i="3"/>
  <c r="L8" i="3"/>
  <c r="L7" i="24"/>
  <c r="L9" i="24"/>
  <c r="L10" i="24"/>
  <c r="L16" i="24"/>
  <c r="L15" i="24"/>
  <c r="L14" i="24"/>
  <c r="L13" i="24"/>
  <c r="L12" i="24"/>
  <c r="L11" i="24"/>
  <c r="L8" i="24"/>
  <c r="E8" i="24"/>
  <c r="L6" i="24"/>
  <c r="L17" i="24" s="1"/>
  <c r="L7" i="23"/>
  <c r="L9" i="23"/>
  <c r="L16" i="23"/>
  <c r="L15" i="23"/>
  <c r="L14" i="23"/>
  <c r="L13" i="23"/>
  <c r="L12" i="23"/>
  <c r="L11" i="23"/>
  <c r="L10" i="23"/>
  <c r="L8" i="23"/>
  <c r="E8" i="23"/>
  <c r="L6" i="23"/>
  <c r="L17" i="23" s="1"/>
  <c r="L9" i="22"/>
  <c r="L7" i="22"/>
  <c r="L6" i="22"/>
  <c r="L9" i="21"/>
  <c r="L6" i="18"/>
  <c r="S10" i="21"/>
  <c r="L10" i="21"/>
  <c r="S12" i="21"/>
  <c r="S13" i="21"/>
  <c r="S14" i="21"/>
  <c r="S15" i="21"/>
  <c r="S16" i="21"/>
  <c r="S11" i="21"/>
  <c r="S9" i="21"/>
  <c r="S7" i="21"/>
  <c r="S6" i="21"/>
  <c r="L12" i="21"/>
  <c r="L11" i="21"/>
  <c r="L7" i="21"/>
  <c r="L6" i="21"/>
  <c r="L8" i="22"/>
  <c r="L10" i="22"/>
  <c r="L11" i="22"/>
  <c r="L12" i="22"/>
  <c r="L13" i="22"/>
  <c r="L14" i="22"/>
  <c r="L15" i="22"/>
  <c r="L16" i="22"/>
  <c r="E8" i="22"/>
  <c r="L17" i="22"/>
  <c r="S8" i="21"/>
  <c r="S17" i="21"/>
  <c r="L8" i="21"/>
  <c r="L13" i="21"/>
  <c r="L14" i="21"/>
  <c r="L16" i="21"/>
  <c r="L15" i="21"/>
  <c r="E8" i="21"/>
  <c r="L17" i="21"/>
  <c r="L16" i="20"/>
  <c r="L15" i="20"/>
  <c r="L14" i="20"/>
  <c r="L13" i="20"/>
  <c r="L12" i="20"/>
  <c r="L11" i="20"/>
  <c r="L10" i="20"/>
  <c r="L9" i="20"/>
  <c r="L8" i="20"/>
  <c r="E8" i="20"/>
  <c r="L7" i="20"/>
  <c r="L6" i="20"/>
  <c r="L17" i="20" s="1"/>
  <c r="L16" i="19"/>
  <c r="L15" i="19"/>
  <c r="L14" i="19"/>
  <c r="L13" i="19"/>
  <c r="L12" i="19"/>
  <c r="L11" i="19"/>
  <c r="L10" i="19"/>
  <c r="L9" i="19"/>
  <c r="L8" i="19"/>
  <c r="E8" i="19"/>
  <c r="L7" i="19"/>
  <c r="L6" i="19"/>
  <c r="L17" i="19" s="1"/>
  <c r="L16" i="18"/>
  <c r="L15" i="18"/>
  <c r="L14" i="18"/>
  <c r="L13" i="18"/>
  <c r="L12" i="18"/>
  <c r="L11" i="18"/>
  <c r="L10" i="18"/>
  <c r="L9" i="18"/>
  <c r="L8" i="18"/>
  <c r="E8" i="18"/>
  <c r="L7" i="18"/>
  <c r="L17" i="18"/>
  <c r="L16" i="17"/>
  <c r="L15" i="17"/>
  <c r="L14" i="17"/>
  <c r="L13" i="17"/>
  <c r="L12" i="17"/>
  <c r="L11" i="17"/>
  <c r="L10" i="17"/>
  <c r="L9" i="17"/>
  <c r="L8" i="17"/>
  <c r="E8" i="17"/>
  <c r="L7" i="17"/>
  <c r="L6" i="17"/>
  <c r="L17" i="17" s="1"/>
  <c r="L11" i="16"/>
  <c r="L12" i="16"/>
  <c r="L10" i="16"/>
  <c r="L9" i="16"/>
  <c r="L8" i="16"/>
  <c r="L7" i="16"/>
  <c r="L6" i="16"/>
  <c r="L16" i="16"/>
  <c r="L15" i="16"/>
  <c r="L14" i="16"/>
  <c r="L13" i="16"/>
  <c r="E8" i="16"/>
  <c r="L17" i="16"/>
  <c r="L12" i="9"/>
  <c r="L11" i="9"/>
  <c r="L14" i="9"/>
  <c r="L15" i="9"/>
  <c r="L21" i="15"/>
  <c r="L6" i="15"/>
  <c r="L16" i="15"/>
  <c r="L15" i="15"/>
  <c r="L14" i="15"/>
  <c r="L13" i="15"/>
  <c r="L12" i="15"/>
  <c r="L11" i="15"/>
  <c r="L10" i="15"/>
  <c r="L9" i="15"/>
  <c r="L8" i="15"/>
  <c r="E8" i="15"/>
  <c r="L7" i="15"/>
  <c r="L17" i="15"/>
  <c r="L7" i="14"/>
  <c r="L8" i="14"/>
  <c r="L16" i="14"/>
  <c r="L15" i="14"/>
  <c r="L14" i="14"/>
  <c r="L13" i="14"/>
  <c r="L12" i="14"/>
  <c r="L11" i="14"/>
  <c r="L10" i="14"/>
  <c r="L9" i="14"/>
  <c r="E8" i="14"/>
  <c r="L6" i="14"/>
  <c r="L17" i="14" s="1"/>
  <c r="L16" i="13"/>
  <c r="L15" i="13"/>
  <c r="L14" i="13"/>
  <c r="L13" i="13"/>
  <c r="L12" i="13"/>
  <c r="L11" i="13"/>
  <c r="L10" i="13"/>
  <c r="L9" i="13"/>
  <c r="L8" i="13"/>
  <c r="E8" i="13"/>
  <c r="L7" i="13"/>
  <c r="L6" i="13"/>
  <c r="L17" i="13" s="1"/>
  <c r="L9" i="10"/>
  <c r="L8" i="12"/>
  <c r="L9" i="12"/>
  <c r="L16" i="12"/>
  <c r="L15" i="12"/>
  <c r="L14" i="12"/>
  <c r="L13" i="12"/>
  <c r="L12" i="12"/>
  <c r="L11" i="12"/>
  <c r="L10" i="12"/>
  <c r="E8" i="12"/>
  <c r="L7" i="12"/>
  <c r="L6" i="12"/>
  <c r="L17" i="12" s="1"/>
  <c r="L10" i="10"/>
  <c r="L7" i="11"/>
  <c r="L6" i="11"/>
  <c r="L7" i="10"/>
  <c r="L16" i="11"/>
  <c r="L15" i="11"/>
  <c r="L14" i="11"/>
  <c r="L13" i="11"/>
  <c r="L12" i="11"/>
  <c r="L11" i="11"/>
  <c r="L10" i="11"/>
  <c r="L9" i="11"/>
  <c r="L8" i="11"/>
  <c r="E8" i="11"/>
  <c r="L17" i="11"/>
  <c r="L6" i="10"/>
  <c r="L16" i="10"/>
  <c r="L15" i="10"/>
  <c r="L14" i="10"/>
  <c r="L13" i="10"/>
  <c r="L12" i="10"/>
  <c r="L11" i="10"/>
  <c r="L8" i="10"/>
  <c r="E8" i="10"/>
  <c r="L17" i="10"/>
  <c r="L9" i="9"/>
  <c r="L10" i="9"/>
  <c r="E8" i="9"/>
  <c r="L7" i="9"/>
  <c r="L6" i="9"/>
  <c r="L17" i="9" s="1"/>
  <c r="L8" i="7"/>
  <c r="L7" i="7"/>
  <c r="L9" i="7"/>
  <c r="L10" i="7"/>
  <c r="L11" i="7"/>
  <c r="L12" i="7"/>
  <c r="L13" i="7"/>
  <c r="L16" i="7"/>
  <c r="L15" i="7"/>
  <c r="L14" i="7"/>
  <c r="E8" i="7"/>
  <c r="L6" i="7"/>
  <c r="L17" i="7" s="1"/>
  <c r="L17" i="5"/>
  <c r="L16" i="5"/>
  <c r="L15" i="5"/>
  <c r="L14" i="5"/>
  <c r="L13" i="5"/>
  <c r="L12" i="5"/>
  <c r="L11" i="5"/>
  <c r="L10" i="5"/>
  <c r="L9" i="5"/>
  <c r="L8" i="5"/>
  <c r="L7" i="5"/>
  <c r="L6" i="5"/>
  <c r="E8" i="5"/>
  <c r="H23" i="3"/>
  <c r="L14" i="3"/>
  <c r="L7" i="3"/>
  <c r="L10" i="3"/>
  <c r="L12" i="3"/>
  <c r="L13" i="3"/>
  <c r="L15" i="3"/>
  <c r="L16" i="3"/>
  <c r="L6" i="3"/>
  <c r="E8" i="3"/>
  <c r="E11" i="3" s="1"/>
  <c r="L17" i="3"/>
  <c r="L18" i="3" s="1"/>
  <c r="AG19" i="32" l="1"/>
  <c r="AG18" i="32"/>
  <c r="AG20" i="32" s="1"/>
  <c r="AG21" i="32" s="1"/>
  <c r="AG22" i="32" s="1"/>
  <c r="Z19" i="32"/>
  <c r="Z18" i="32"/>
  <c r="Z20" i="32" s="1"/>
  <c r="Z21" i="32" s="1"/>
  <c r="Z22" i="32" s="1"/>
  <c r="S19" i="32"/>
  <c r="S18" i="32"/>
  <c r="S20" i="32" s="1"/>
  <c r="S21" i="32" s="1"/>
  <c r="S22" i="32" s="1"/>
  <c r="L18" i="32"/>
  <c r="D19" i="31"/>
  <c r="L18" i="31"/>
  <c r="D18" i="31"/>
  <c r="E11" i="31"/>
  <c r="H23" i="31" s="1"/>
  <c r="D19" i="30"/>
  <c r="L18" i="30"/>
  <c r="D18" i="30"/>
  <c r="E11" i="30"/>
  <c r="H23" i="30" s="1"/>
  <c r="D19" i="29"/>
  <c r="L18" i="29"/>
  <c r="D18" i="29"/>
  <c r="E11" i="29"/>
  <c r="H23" i="29" s="1"/>
  <c r="D19" i="28"/>
  <c r="L18" i="28"/>
  <c r="D18" i="28"/>
  <c r="E11" i="28"/>
  <c r="H23" i="28" s="1"/>
  <c r="D19" i="27"/>
  <c r="L18" i="27"/>
  <c r="D18" i="27"/>
  <c r="E11" i="27"/>
  <c r="H23" i="27" s="1"/>
  <c r="D19" i="26"/>
  <c r="L18" i="26"/>
  <c r="D18" i="26"/>
  <c r="E11" i="26"/>
  <c r="H23" i="26" s="1"/>
  <c r="D19" i="25"/>
  <c r="L18" i="25"/>
  <c r="D18" i="25"/>
  <c r="E11" i="25"/>
  <c r="H23" i="25" s="1"/>
  <c r="D19" i="24"/>
  <c r="L18" i="24"/>
  <c r="D18" i="24"/>
  <c r="E11" i="24"/>
  <c r="H23" i="24" s="1"/>
  <c r="D19" i="23"/>
  <c r="L18" i="23"/>
  <c r="D18" i="23"/>
  <c r="E11" i="23"/>
  <c r="H23" i="23" s="1"/>
  <c r="D19" i="22"/>
  <c r="L18" i="22"/>
  <c r="D18" i="22"/>
  <c r="E11" i="22"/>
  <c r="H23" i="22" s="1"/>
  <c r="S18" i="21"/>
  <c r="D19" i="21"/>
  <c r="L18" i="21"/>
  <c r="D18" i="21"/>
  <c r="E11" i="21"/>
  <c r="H23" i="21" s="1"/>
  <c r="D19" i="20"/>
  <c r="L18" i="20"/>
  <c r="D18" i="20"/>
  <c r="E11" i="20"/>
  <c r="H23" i="20" s="1"/>
  <c r="D19" i="19"/>
  <c r="L18" i="19"/>
  <c r="D18" i="19"/>
  <c r="E11" i="19"/>
  <c r="H23" i="19" s="1"/>
  <c r="D19" i="18"/>
  <c r="L18" i="18"/>
  <c r="D18" i="18"/>
  <c r="E11" i="18"/>
  <c r="H23" i="18" s="1"/>
  <c r="D19" i="17"/>
  <c r="L18" i="17"/>
  <c r="D18" i="17"/>
  <c r="E11" i="17"/>
  <c r="H23" i="17" s="1"/>
  <c r="D19" i="16"/>
  <c r="L18" i="16"/>
  <c r="D18" i="16"/>
  <c r="E11" i="16"/>
  <c r="H23" i="16" s="1"/>
  <c r="D19" i="15"/>
  <c r="L18" i="15"/>
  <c r="D18" i="15"/>
  <c r="E11" i="15"/>
  <c r="H23" i="15" s="1"/>
  <c r="D19" i="14"/>
  <c r="L18" i="14"/>
  <c r="D18" i="14"/>
  <c r="E11" i="14"/>
  <c r="H23" i="14" s="1"/>
  <c r="D19" i="13"/>
  <c r="L18" i="13"/>
  <c r="D18" i="13"/>
  <c r="E11" i="13"/>
  <c r="H23" i="13" s="1"/>
  <c r="D19" i="12"/>
  <c r="L18" i="12"/>
  <c r="D18" i="12"/>
  <c r="E11" i="12"/>
  <c r="H23" i="12" s="1"/>
  <c r="D19" i="11"/>
  <c r="L18" i="11"/>
  <c r="D18" i="11"/>
  <c r="E11" i="11"/>
  <c r="H23" i="11" s="1"/>
  <c r="D19" i="10"/>
  <c r="L18" i="10"/>
  <c r="D18" i="10"/>
  <c r="E11" i="10"/>
  <c r="H23" i="10" s="1"/>
  <c r="D19" i="9"/>
  <c r="L18" i="9"/>
  <c r="D18" i="9"/>
  <c r="E11" i="9"/>
  <c r="H23" i="9" s="1"/>
  <c r="D19" i="7"/>
  <c r="L18" i="7"/>
  <c r="D18" i="7"/>
  <c r="E11" i="7"/>
  <c r="H23" i="7" s="1"/>
  <c r="D19" i="5"/>
  <c r="L18" i="5"/>
  <c r="D18" i="5"/>
  <c r="E11" i="5"/>
  <c r="H23" i="5" s="1"/>
  <c r="D18" i="3"/>
  <c r="D19" i="3"/>
  <c r="AG25" i="32" l="1"/>
  <c r="AG24" i="32"/>
  <c r="AG23" i="32"/>
  <c r="AG26" i="32" s="1"/>
  <c r="Z25" i="32"/>
  <c r="Z24" i="32"/>
  <c r="Z23" i="32"/>
  <c r="Z26" i="32" s="1"/>
  <c r="S25" i="32"/>
  <c r="S24" i="32"/>
  <c r="S23" i="32"/>
  <c r="S26" i="32" s="1"/>
  <c r="L21" i="32"/>
  <c r="L22" i="32" s="1"/>
  <c r="L25" i="32"/>
  <c r="L24" i="32"/>
  <c r="D17" i="31"/>
  <c r="L19" i="31" s="1"/>
  <c r="L20" i="31"/>
  <c r="L21" i="31" s="1"/>
  <c r="L22" i="31" s="1"/>
  <c r="D17" i="30"/>
  <c r="L19" i="30" s="1"/>
  <c r="L20" i="30"/>
  <c r="L21" i="30" s="1"/>
  <c r="L22" i="30" s="1"/>
  <c r="D17" i="29"/>
  <c r="L19" i="29" s="1"/>
  <c r="L20" i="29"/>
  <c r="L21" i="29" s="1"/>
  <c r="L22" i="29" s="1"/>
  <c r="D17" i="28"/>
  <c r="L19" i="28" s="1"/>
  <c r="L20" i="28"/>
  <c r="L21" i="28" s="1"/>
  <c r="L22" i="28" s="1"/>
  <c r="D17" i="27"/>
  <c r="L19" i="27" s="1"/>
  <c r="L20" i="27"/>
  <c r="L21" i="27" s="1"/>
  <c r="L22" i="27" s="1"/>
  <c r="D17" i="26"/>
  <c r="L19" i="26" s="1"/>
  <c r="L20" i="26"/>
  <c r="L21" i="26" s="1"/>
  <c r="L22" i="26" s="1"/>
  <c r="D17" i="25"/>
  <c r="L19" i="25" s="1"/>
  <c r="L20" i="25"/>
  <c r="L21" i="25" s="1"/>
  <c r="L22" i="25" s="1"/>
  <c r="D17" i="24"/>
  <c r="L19" i="24" s="1"/>
  <c r="L20" i="24"/>
  <c r="L21" i="24" s="1"/>
  <c r="L22" i="24" s="1"/>
  <c r="D17" i="23"/>
  <c r="L19" i="23" s="1"/>
  <c r="L20" i="23"/>
  <c r="L21" i="23" s="1"/>
  <c r="L22" i="23" s="1"/>
  <c r="D17" i="22"/>
  <c r="D17" i="21"/>
  <c r="D17" i="20"/>
  <c r="L19" i="20" s="1"/>
  <c r="L20" i="20"/>
  <c r="L21" i="20" s="1"/>
  <c r="L22" i="20" s="1"/>
  <c r="D17" i="19"/>
  <c r="L19" i="19" s="1"/>
  <c r="L20" i="19"/>
  <c r="L21" i="19" s="1"/>
  <c r="L22" i="19" s="1"/>
  <c r="D17" i="18"/>
  <c r="L19" i="18" s="1"/>
  <c r="L20" i="18"/>
  <c r="L21" i="18" s="1"/>
  <c r="L22" i="18" s="1"/>
  <c r="D17" i="17"/>
  <c r="L19" i="17" s="1"/>
  <c r="L20" i="17"/>
  <c r="L21" i="17" s="1"/>
  <c r="L22" i="17" s="1"/>
  <c r="D17" i="16"/>
  <c r="L19" i="16" s="1"/>
  <c r="L20" i="16"/>
  <c r="L21" i="16" s="1"/>
  <c r="L22" i="16" s="1"/>
  <c r="D17" i="15"/>
  <c r="L19" i="15" s="1"/>
  <c r="L20" i="15"/>
  <c r="L22" i="15" s="1"/>
  <c r="D17" i="14"/>
  <c r="L19" i="14" s="1"/>
  <c r="L20" i="14"/>
  <c r="L21" i="14" s="1"/>
  <c r="L22" i="14" s="1"/>
  <c r="D17" i="13"/>
  <c r="L19" i="13" s="1"/>
  <c r="L20" i="13"/>
  <c r="L21" i="13" s="1"/>
  <c r="L22" i="13" s="1"/>
  <c r="D17" i="12"/>
  <c r="L19" i="12" s="1"/>
  <c r="L20" i="12"/>
  <c r="L21" i="12" s="1"/>
  <c r="L22" i="12" s="1"/>
  <c r="D17" i="11"/>
  <c r="L19" i="11" s="1"/>
  <c r="L20" i="11"/>
  <c r="L21" i="11" s="1"/>
  <c r="L22" i="11" s="1"/>
  <c r="D17" i="10"/>
  <c r="L19" i="10" s="1"/>
  <c r="L20" i="10"/>
  <c r="L21" i="10" s="1"/>
  <c r="L22" i="10" s="1"/>
  <c r="D17" i="9"/>
  <c r="L19" i="9" s="1"/>
  <c r="L20" i="9" s="1"/>
  <c r="L21" i="9" s="1"/>
  <c r="D17" i="7"/>
  <c r="L19" i="7" s="1"/>
  <c r="L20" i="7"/>
  <c r="L21" i="7" s="1"/>
  <c r="L22" i="7" s="1"/>
  <c r="D17" i="5"/>
  <c r="L19" i="5" s="1"/>
  <c r="L20" i="5"/>
  <c r="L21" i="5" s="1"/>
  <c r="L22" i="5" s="1"/>
  <c r="D17" i="3"/>
  <c r="L19" i="3" s="1"/>
  <c r="L20" i="3"/>
  <c r="L25" i="31" l="1"/>
  <c r="L24" i="31"/>
  <c r="L23" i="31"/>
  <c r="L26" i="31" s="1"/>
  <c r="L25" i="30"/>
  <c r="L24" i="30"/>
  <c r="L23" i="30"/>
  <c r="L26" i="30" s="1"/>
  <c r="L25" i="29"/>
  <c r="L24" i="29"/>
  <c r="L23" i="29"/>
  <c r="L26" i="29" s="1"/>
  <c r="L25" i="28"/>
  <c r="L24" i="28"/>
  <c r="L23" i="28"/>
  <c r="L26" i="28" s="1"/>
  <c r="L25" i="27"/>
  <c r="L24" i="27"/>
  <c r="L23" i="27"/>
  <c r="L26" i="27" s="1"/>
  <c r="L25" i="26"/>
  <c r="L24" i="26"/>
  <c r="L23" i="26"/>
  <c r="L26" i="26" s="1"/>
  <c r="L25" i="25"/>
  <c r="L24" i="25"/>
  <c r="L23" i="25"/>
  <c r="L26" i="25" s="1"/>
  <c r="L25" i="24"/>
  <c r="L24" i="24"/>
  <c r="L23" i="24"/>
  <c r="L26" i="24" s="1"/>
  <c r="L25" i="23"/>
  <c r="L24" i="23"/>
  <c r="L23" i="23"/>
  <c r="L26" i="23" s="1"/>
  <c r="L19" i="21"/>
  <c r="L20" i="21" s="1"/>
  <c r="L21" i="21" s="1"/>
  <c r="L22" i="21" s="1"/>
  <c r="S19" i="21"/>
  <c r="S20" i="21" s="1"/>
  <c r="S21" i="21" s="1"/>
  <c r="S22" i="21" s="1"/>
  <c r="L19" i="22"/>
  <c r="L20" i="22" s="1"/>
  <c r="L21" i="22" s="1"/>
  <c r="L22" i="22" s="1"/>
  <c r="L25" i="21"/>
  <c r="L24" i="21"/>
  <c r="L23" i="21"/>
  <c r="L26" i="21" s="1"/>
  <c r="L25" i="20"/>
  <c r="L24" i="20"/>
  <c r="L23" i="20"/>
  <c r="L26" i="20" s="1"/>
  <c r="L25" i="19"/>
  <c r="L24" i="19"/>
  <c r="L23" i="19"/>
  <c r="L26" i="19" s="1"/>
  <c r="L25" i="18"/>
  <c r="L24" i="18"/>
  <c r="L23" i="18"/>
  <c r="L26" i="18" s="1"/>
  <c r="L25" i="17"/>
  <c r="L24" i="17"/>
  <c r="L23" i="17"/>
  <c r="L26" i="17" s="1"/>
  <c r="L25" i="16"/>
  <c r="L24" i="16"/>
  <c r="L23" i="16"/>
  <c r="L26" i="16" s="1"/>
  <c r="L25" i="15"/>
  <c r="L24" i="15"/>
  <c r="L23" i="15"/>
  <c r="L26" i="15" s="1"/>
  <c r="L25" i="14"/>
  <c r="L24" i="14"/>
  <c r="L23" i="14"/>
  <c r="L26" i="14" s="1"/>
  <c r="L22" i="9"/>
  <c r="L25" i="13"/>
  <c r="L24" i="13"/>
  <c r="L23" i="13"/>
  <c r="L26" i="13" s="1"/>
  <c r="L25" i="12"/>
  <c r="L24" i="12"/>
  <c r="L23" i="12"/>
  <c r="L26" i="12" s="1"/>
  <c r="L25" i="11"/>
  <c r="L24" i="11"/>
  <c r="L23" i="11"/>
  <c r="L26" i="11" s="1"/>
  <c r="L25" i="10"/>
  <c r="L24" i="10"/>
  <c r="L23" i="10"/>
  <c r="L26" i="10" s="1"/>
  <c r="L25" i="9"/>
  <c r="L24" i="9"/>
  <c r="L23" i="9"/>
  <c r="L26" i="9" s="1"/>
  <c r="L25" i="7"/>
  <c r="L24" i="7"/>
  <c r="L23" i="7"/>
  <c r="L26" i="7" s="1"/>
  <c r="L25" i="5"/>
  <c r="L24" i="5"/>
  <c r="L23" i="5"/>
  <c r="L26" i="5" s="1"/>
  <c r="L21" i="3"/>
  <c r="L22" i="3" s="1"/>
  <c r="L23" i="3" s="1"/>
  <c r="L23" i="32" l="1"/>
  <c r="L26" i="32"/>
  <c r="S23" i="21"/>
  <c r="S25" i="21"/>
  <c r="S24" i="21"/>
  <c r="S26" i="21" s="1"/>
  <c r="L25" i="22"/>
  <c r="L24" i="22"/>
  <c r="L23" i="22"/>
  <c r="L26" i="22" s="1"/>
  <c r="L25" i="3"/>
  <c r="L24" i="3"/>
  <c r="L26" i="3"/>
</calcChain>
</file>

<file path=xl/sharedStrings.xml><?xml version="1.0" encoding="utf-8"?>
<sst xmlns="http://schemas.openxmlformats.org/spreadsheetml/2006/main" count="1782" uniqueCount="208">
  <si>
    <t>Recuperación Capital:</t>
  </si>
  <si>
    <t>Inversión/Meses Retorno ($40millones/36 meses)</t>
  </si>
  <si>
    <t>Nombre del responsable</t>
  </si>
  <si>
    <t>Materia prima:</t>
  </si>
  <si>
    <t xml:space="preserve">Insumos </t>
  </si>
  <si>
    <t>Nombre de la Receta</t>
  </si>
  <si>
    <t>Desgranado Oliva</t>
  </si>
  <si>
    <t>Fecha Prep.</t>
  </si>
  <si>
    <t>Salario Fijo:</t>
  </si>
  <si>
    <t>Colaborador Fijo</t>
  </si>
  <si>
    <t>Código de la Receta</t>
  </si>
  <si>
    <t>Porciones</t>
  </si>
  <si>
    <t>Salario Ayudante:</t>
  </si>
  <si>
    <t>Colaborador por Novedad</t>
  </si>
  <si>
    <t>Ingredientes para la fabricación</t>
  </si>
  <si>
    <t xml:space="preserve">Cantidades </t>
  </si>
  <si>
    <t xml:space="preserve">Unidades </t>
  </si>
  <si>
    <t>Precio / Kg</t>
  </si>
  <si>
    <t>Importe</t>
  </si>
  <si>
    <t>Costos directos:</t>
  </si>
  <si>
    <t>Servicios públicos</t>
  </si>
  <si>
    <t>Cebolla Blanca</t>
  </si>
  <si>
    <t>gr</t>
  </si>
  <si>
    <t>Gastos indirectos:</t>
  </si>
  <si>
    <t>Consumibles, Publicidad y gastos financieros.</t>
  </si>
  <si>
    <t xml:space="preserve">Maiz Desgranado </t>
  </si>
  <si>
    <t xml:space="preserve">Punto de Equilibro </t>
  </si>
  <si>
    <t>Ventas diarias necesarias para cubrir costes. / 26 dias</t>
  </si>
  <si>
    <t>Salchicha FAZENDA (10und)</t>
  </si>
  <si>
    <t>Tocineta</t>
  </si>
  <si>
    <t>Queso Tajado</t>
  </si>
  <si>
    <t>Cierre Mensual</t>
  </si>
  <si>
    <t>Ventas estimadas mensuales en días</t>
  </si>
  <si>
    <t>Crema de Leche</t>
  </si>
  <si>
    <t>mL</t>
  </si>
  <si>
    <t>Utilidad Neta</t>
  </si>
  <si>
    <t>Ganancial mensual después de cubrir costes</t>
  </si>
  <si>
    <t>Pollo Desmechado</t>
  </si>
  <si>
    <t>Salsa tartara</t>
  </si>
  <si>
    <t>Bandeja Aluminio (6und)</t>
  </si>
  <si>
    <t>und</t>
  </si>
  <si>
    <t>Costo Gerencial</t>
  </si>
  <si>
    <t>Mantenimientos a Equipos  (5%)</t>
  </si>
  <si>
    <t>Costo de materia prima.</t>
  </si>
  <si>
    <t>Reemplazo de Indumentaria (5%)</t>
  </si>
  <si>
    <t>Imprevistos</t>
  </si>
  <si>
    <t>Imprevistos en la preparación. (10%)</t>
  </si>
  <si>
    <t>Costos de productos aseo y limpieza (5%)</t>
  </si>
  <si>
    <t>Costo gerencial. (15%)</t>
  </si>
  <si>
    <t>Costo total de Preparación.</t>
  </si>
  <si>
    <t>Costo por porción.</t>
  </si>
  <si>
    <t>Factor de Venta</t>
  </si>
  <si>
    <t>Factor de venta. </t>
  </si>
  <si>
    <t>Recup. Capital</t>
  </si>
  <si>
    <t>Recuperacion Capital Inversion</t>
  </si>
  <si>
    <t>Imp. al Consumo</t>
  </si>
  <si>
    <t>IC. (8%)</t>
  </si>
  <si>
    <t>IVA</t>
  </si>
  <si>
    <t>IVA. (19%)</t>
  </si>
  <si>
    <t>PRECIO FINAL VENTA</t>
  </si>
  <si>
    <t>Salsa Tartara</t>
  </si>
  <si>
    <t>Mayonesa Artesanal</t>
  </si>
  <si>
    <t>Alcaparras</t>
  </si>
  <si>
    <t>Pepinillo Encurtidos (40 Solid / 25 Agua)</t>
  </si>
  <si>
    <t>Perejil Fresco</t>
  </si>
  <si>
    <t>Ajo Fresco</t>
  </si>
  <si>
    <t>Cebolla Junca (Tallo Verde)</t>
  </si>
  <si>
    <t>Pimenton (Aji Dulce)</t>
  </si>
  <si>
    <t>Azucar</t>
  </si>
  <si>
    <t xml:space="preserve">PAN DE BONO </t>
  </si>
  <si>
    <t>HARINA TRIGO TRADIC</t>
  </si>
  <si>
    <t>ACEITE VEGETAL PALMA</t>
  </si>
  <si>
    <t>MARGARINA</t>
  </si>
  <si>
    <t>SAL</t>
  </si>
  <si>
    <t>AZUCAR</t>
  </si>
  <si>
    <t>HUEVOS</t>
  </si>
  <si>
    <t>COLMAIZ PARA PAN DE BONO</t>
  </si>
  <si>
    <t>QUESO COSTEÑO</t>
  </si>
  <si>
    <t>QUESO DOBLE CREMA</t>
  </si>
  <si>
    <t>MANTEQUILLA</t>
  </si>
  <si>
    <t>POLVO HORNEAR</t>
  </si>
  <si>
    <t>PIZZETAS</t>
  </si>
  <si>
    <t>CERDO</t>
  </si>
  <si>
    <t>Aliños y Adobos</t>
  </si>
  <si>
    <t xml:space="preserve">MASA </t>
  </si>
  <si>
    <t>TARTARA</t>
  </si>
  <si>
    <t>NACHOS</t>
  </si>
  <si>
    <t>BORDE DE QUESO</t>
  </si>
  <si>
    <t>TAJADA DE QUESO</t>
  </si>
  <si>
    <t>CAJA DE EMPAQUE</t>
  </si>
  <si>
    <t>JALAPEÑO</t>
  </si>
  <si>
    <t>EMPANADAS</t>
  </si>
  <si>
    <t xml:space="preserve">CARNE </t>
  </si>
  <si>
    <t>TORTILLA</t>
  </si>
  <si>
    <t>COSCOJAS DE PLATANO</t>
  </si>
  <si>
    <t xml:space="preserve">TAJADA DE JAMON </t>
  </si>
  <si>
    <t>Masa para Empanada</t>
  </si>
  <si>
    <t>HELADO</t>
  </si>
  <si>
    <t>Leche Liquida</t>
  </si>
  <si>
    <t>Leche en polvo</t>
  </si>
  <si>
    <t>BATICREM</t>
  </si>
  <si>
    <t>CANASTA DE HELADO</t>
  </si>
  <si>
    <t>Salsa Hershey</t>
  </si>
  <si>
    <t>Topping de Frutas (1 adiciones)</t>
  </si>
  <si>
    <t>Topping de Secos (1 adiciones)</t>
  </si>
  <si>
    <t>Barquillos</t>
  </si>
  <si>
    <t>COCTELES</t>
  </si>
  <si>
    <t xml:space="preserve">CANELA </t>
  </si>
  <si>
    <t>Gengibre</t>
  </si>
  <si>
    <t>Anis ESTRELLA</t>
  </si>
  <si>
    <t>Fruta CARA (KIWI)</t>
  </si>
  <si>
    <t>Soda BRETAÑA</t>
  </si>
  <si>
    <t>Hielo CUBOS</t>
  </si>
  <si>
    <t>SYRUP FRUTOS</t>
  </si>
  <si>
    <t>SYRUP SIMPLE</t>
  </si>
  <si>
    <t>Base LIMON</t>
  </si>
  <si>
    <t>Tequila OLMECA</t>
  </si>
  <si>
    <t>SMIRNOFF</t>
  </si>
  <si>
    <t>Hojas de MENTA</t>
  </si>
  <si>
    <t>Fruta de Decoracion</t>
  </si>
  <si>
    <t>PIÑA COLADA</t>
  </si>
  <si>
    <t>ZUMO DE PIÑA</t>
  </si>
  <si>
    <t>CREMA DE COCO</t>
  </si>
  <si>
    <t>LECHE EN POLVO</t>
  </si>
  <si>
    <t>RON</t>
  </si>
  <si>
    <t xml:space="preserve">CAFE </t>
  </si>
  <si>
    <t>LIMONADA DE COCO</t>
  </si>
  <si>
    <t>LECHE LIQUIDA</t>
  </si>
  <si>
    <t>LIMONADA CEREZADA</t>
  </si>
  <si>
    <t>CEREZAS</t>
  </si>
  <si>
    <t xml:space="preserve">Dedos </t>
  </si>
  <si>
    <t>DEDITOS</t>
  </si>
  <si>
    <t xml:space="preserve">QUESO </t>
  </si>
  <si>
    <t>SALCICHAS</t>
  </si>
  <si>
    <t>PARTFAIT</t>
  </si>
  <si>
    <t>YOGURT GRIEGO</t>
  </si>
  <si>
    <t xml:space="preserve">SEMILLAS DE CHIA </t>
  </si>
  <si>
    <t xml:space="preserve">FRUTAS </t>
  </si>
  <si>
    <t xml:space="preserve">GRANOLA </t>
  </si>
  <si>
    <t>FRESAS</t>
  </si>
  <si>
    <t>CREMA DE LECHE</t>
  </si>
  <si>
    <t>AZUCAR GLAS</t>
  </si>
  <si>
    <t>VASO PLASTICO</t>
  </si>
  <si>
    <t xml:space="preserve">LATTE / LATTE VAINILLA </t>
  </si>
  <si>
    <t>CAFE AROMA CAFETERO</t>
  </si>
  <si>
    <t>AZUCAR SOBRE</t>
  </si>
  <si>
    <t>LECHE</t>
  </si>
  <si>
    <t>VASO</t>
  </si>
  <si>
    <t>TAPA</t>
  </si>
  <si>
    <t>MEZCLADORES</t>
  </si>
  <si>
    <t>MOCKA</t>
  </si>
  <si>
    <t>CHOCOLATE INSTANTANEO</t>
  </si>
  <si>
    <t>CAPUCHINO</t>
  </si>
  <si>
    <t>CHOCOLATE</t>
  </si>
  <si>
    <t>AMERICANO</t>
  </si>
  <si>
    <t>FRAPUCHINOS</t>
  </si>
  <si>
    <t xml:space="preserve">Leche </t>
  </si>
  <si>
    <t>Cafe Instantaneo</t>
  </si>
  <si>
    <t>Brownies</t>
  </si>
  <si>
    <t>Galletas Oreo</t>
  </si>
  <si>
    <t>Mani</t>
  </si>
  <si>
    <t>MALTEADAS</t>
  </si>
  <si>
    <t>INSUMOS               (Precio x Kilogramo)</t>
  </si>
  <si>
    <t>Mantequilla Base (Precio x Kilogramo)</t>
  </si>
  <si>
    <t>Nombre PRODUCTO</t>
  </si>
  <si>
    <t>Mantequilla OLIVA de la CASA</t>
  </si>
  <si>
    <t>Mantequilla ARANDANOS</t>
  </si>
  <si>
    <t>Mantequilla CARNES ROJAS</t>
  </si>
  <si>
    <t>Mantequilla CARNES BLANCAS</t>
  </si>
  <si>
    <t>Ajo Ahumado</t>
  </si>
  <si>
    <t>Mantequilla Artesanal</t>
  </si>
  <si>
    <t>Pimenton Ahumado</t>
  </si>
  <si>
    <t>Cantidad</t>
  </si>
  <si>
    <t>Macadamia</t>
  </si>
  <si>
    <t>Almendra</t>
  </si>
  <si>
    <t xml:space="preserve">Mantequilla Base </t>
  </si>
  <si>
    <t>Arandanos</t>
  </si>
  <si>
    <t>Albahaca triturada</t>
  </si>
  <si>
    <t>Curry en Polvo</t>
  </si>
  <si>
    <t>Vino Tinto</t>
  </si>
  <si>
    <t>Oregano Triturado</t>
  </si>
  <si>
    <t xml:space="preserve">Sal </t>
  </si>
  <si>
    <t>Polvos D´Vides</t>
  </si>
  <si>
    <t>Fruto Seco Mani</t>
  </si>
  <si>
    <t>Mostaza</t>
  </si>
  <si>
    <t>Pimienta</t>
  </si>
  <si>
    <t>Contenedor</t>
  </si>
  <si>
    <t>Und</t>
  </si>
  <si>
    <t>Fruto Seco Macadamia</t>
  </si>
  <si>
    <t>Pimenton</t>
  </si>
  <si>
    <t>Cilantro</t>
  </si>
  <si>
    <t>Revuelto Polvos D´Vides</t>
  </si>
  <si>
    <t>Stickers</t>
  </si>
  <si>
    <t>Fruto Seco Almendras</t>
  </si>
  <si>
    <t>Albahaca Seca Triturada</t>
  </si>
  <si>
    <t>Vinagre Balsamico</t>
  </si>
  <si>
    <t>Oregano Seco Triturado</t>
  </si>
  <si>
    <t>Miel</t>
  </si>
  <si>
    <t xml:space="preserve">Pimineta Molida </t>
  </si>
  <si>
    <t>Mostaza San Jorgue</t>
  </si>
  <si>
    <t>Miel Economica</t>
  </si>
  <si>
    <t>Imprevistos en la preparación. (15%)</t>
  </si>
  <si>
    <t>Limon // Naranja</t>
  </si>
  <si>
    <t>Costo gerencial. (35%)</t>
  </si>
  <si>
    <t>Sal</t>
  </si>
  <si>
    <t>Mantenimientos a Equipos  (15%)</t>
  </si>
  <si>
    <t>Reemplazo de Indumentaria (10%)</t>
  </si>
  <si>
    <t>Costos de productos aseo y limpieza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</si>
</sst>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[$$-409]* #,##0.0_ ;_-[$$-409]* \-#,##0.0\ ;_-[$$-409]* &quot;-&quot;??_ ;_-@_ "/>
    <numFmt numFmtId="166" formatCode="_-* #,##0_-;\-* #,##0_-;_-* &quot;-&quot;??_-;_-@_-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charset val="1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7" fillId="0" borderId="0"/>
    <xf numFmtId="0" fontId="3" fillId="0" borderId="0"/>
  </cellStyleXfs>
  <cellXfs count="1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2" fontId="0" fillId="0" borderId="0" xfId="0" applyNumberFormat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4" fontId="3" fillId="6" borderId="11" xfId="2" applyFont="1" applyFill="1" applyBorder="1" applyAlignment="1">
      <alignment horizontal="right" vertical="center" wrapText="1"/>
    </xf>
    <xf numFmtId="164" fontId="3" fillId="6" borderId="12" xfId="2" applyFont="1" applyFill="1" applyBorder="1" applyAlignment="1">
      <alignment horizontal="right" vertical="center" wrapText="1"/>
    </xf>
    <xf numFmtId="164" fontId="3" fillId="6" borderId="13" xfId="2" applyFont="1" applyFill="1" applyBorder="1" applyAlignment="1">
      <alignment horizontal="right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vertical="center"/>
    </xf>
    <xf numFmtId="0" fontId="6" fillId="12" borderId="0" xfId="0" applyFont="1" applyFill="1" applyAlignment="1">
      <alignment wrapText="1"/>
    </xf>
    <xf numFmtId="164" fontId="0" fillId="9" borderId="19" xfId="0" applyNumberFormat="1" applyFill="1" applyBorder="1"/>
    <xf numFmtId="164" fontId="0" fillId="9" borderId="19" xfId="0" applyNumberForma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43" fontId="5" fillId="6" borderId="23" xfId="0" applyNumberFormat="1" applyFont="1" applyFill="1" applyBorder="1" applyAlignment="1">
      <alignment vertical="center" wrapText="1"/>
    </xf>
    <xf numFmtId="0" fontId="0" fillId="0" borderId="33" xfId="0" applyBorder="1" applyAlignment="1">
      <alignment horizontal="left" vertical="center"/>
    </xf>
    <xf numFmtId="0" fontId="0" fillId="2" borderId="34" xfId="0" applyFill="1" applyBorder="1"/>
    <xf numFmtId="0" fontId="0" fillId="2" borderId="30" xfId="0" applyFill="1" applyBorder="1"/>
    <xf numFmtId="0" fontId="0" fillId="2" borderId="28" xfId="0" applyFill="1" applyBorder="1"/>
    <xf numFmtId="1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5" fontId="0" fillId="5" borderId="41" xfId="0" applyNumberFormat="1" applyFill="1" applyBorder="1" applyAlignment="1">
      <alignment horizontal="center" vertical="center"/>
    </xf>
    <xf numFmtId="0" fontId="0" fillId="2" borderId="42" xfId="0" applyFill="1" applyBorder="1"/>
    <xf numFmtId="165" fontId="0" fillId="0" borderId="44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165" fontId="0" fillId="0" borderId="53" xfId="0" applyNumberForma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165" fontId="0" fillId="0" borderId="54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65" fontId="0" fillId="0" borderId="31" xfId="0" applyNumberFormat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165" fontId="0" fillId="0" borderId="63" xfId="0" applyNumberFormat="1" applyBorder="1" applyAlignment="1">
      <alignment horizontal="center" vertical="center"/>
    </xf>
    <xf numFmtId="165" fontId="0" fillId="0" borderId="64" xfId="0" applyNumberFormat="1" applyBorder="1" applyAlignment="1">
      <alignment horizontal="center" vertical="center"/>
    </xf>
    <xf numFmtId="0" fontId="8" fillId="0" borderId="53" xfId="0" applyFont="1" applyBorder="1" applyAlignment="1">
      <alignment horizontal="left" vertical="center"/>
    </xf>
    <xf numFmtId="0" fontId="8" fillId="0" borderId="6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50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0" fontId="1" fillId="3" borderId="7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66" fontId="5" fillId="6" borderId="23" xfId="0" applyNumberFormat="1" applyFont="1" applyFill="1" applyBorder="1" applyAlignment="1">
      <alignment vertical="center" wrapText="1"/>
    </xf>
    <xf numFmtId="164" fontId="3" fillId="6" borderId="76" xfId="2" applyFont="1" applyFill="1" applyBorder="1" applyAlignment="1">
      <alignment horizontal="right" vertical="center" wrapText="1"/>
    </xf>
    <xf numFmtId="164" fontId="3" fillId="6" borderId="78" xfId="2" applyFont="1" applyFill="1" applyBorder="1" applyAlignment="1">
      <alignment horizontal="right" vertical="center" wrapText="1"/>
    </xf>
    <xf numFmtId="164" fontId="3" fillId="6" borderId="79" xfId="2" applyFont="1" applyFill="1" applyBorder="1" applyAlignment="1">
      <alignment horizontal="right" vertical="center" wrapText="1"/>
    </xf>
    <xf numFmtId="164" fontId="3" fillId="6" borderId="83" xfId="2" applyFont="1" applyFill="1" applyBorder="1" applyAlignment="1">
      <alignment horizontal="right" vertical="center" wrapText="1"/>
    </xf>
    <xf numFmtId="0" fontId="5" fillId="11" borderId="15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" fillId="4" borderId="72" xfId="0" applyFont="1" applyFill="1" applyBorder="1" applyAlignment="1">
      <alignment horizontal="left" vertical="center"/>
    </xf>
    <xf numFmtId="14" fontId="0" fillId="0" borderId="72" xfId="0" applyNumberFormat="1" applyBorder="1" applyAlignment="1">
      <alignment horizontal="left" vertical="center"/>
    </xf>
    <xf numFmtId="165" fontId="0" fillId="0" borderId="85" xfId="0" applyNumberFormat="1" applyBorder="1" applyAlignment="1">
      <alignment horizontal="center" vertical="center"/>
    </xf>
    <xf numFmtId="165" fontId="0" fillId="0" borderId="86" xfId="0" applyNumberFormat="1" applyBorder="1" applyAlignment="1">
      <alignment horizontal="center" vertical="center"/>
    </xf>
    <xf numFmtId="165" fontId="0" fillId="0" borderId="87" xfId="0" applyNumberFormat="1" applyBorder="1" applyAlignment="1">
      <alignment horizontal="center" vertical="center"/>
    </xf>
    <xf numFmtId="165" fontId="0" fillId="0" borderId="88" xfId="0" applyNumberFormat="1" applyBorder="1" applyAlignment="1">
      <alignment horizontal="center" vertical="center"/>
    </xf>
    <xf numFmtId="165" fontId="0" fillId="0" borderId="89" xfId="0" applyNumberFormat="1" applyBorder="1" applyAlignment="1">
      <alignment horizontal="center" vertical="center"/>
    </xf>
    <xf numFmtId="165" fontId="0" fillId="5" borderId="90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31" xfId="0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0" fillId="2" borderId="48" xfId="0" applyFill="1" applyBorder="1" applyAlignment="1">
      <alignment horizontal="left"/>
    </xf>
    <xf numFmtId="0" fontId="0" fillId="2" borderId="45" xfId="0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4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0" fillId="2" borderId="35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5" fillId="11" borderId="15" xfId="0" applyFont="1" applyFill="1" applyBorder="1" applyAlignment="1">
      <alignment vertical="center" wrapText="1"/>
    </xf>
    <xf numFmtId="0" fontId="5" fillId="11" borderId="16" xfId="0" applyFont="1" applyFill="1" applyBorder="1" applyAlignment="1">
      <alignment vertical="center" wrapText="1"/>
    </xf>
    <xf numFmtId="0" fontId="5" fillId="11" borderId="15" xfId="0" applyFont="1" applyFill="1" applyBorder="1" applyAlignment="1">
      <alignment vertical="center"/>
    </xf>
    <xf numFmtId="0" fontId="5" fillId="11" borderId="20" xfId="0" applyFont="1" applyFill="1" applyBorder="1" applyAlignment="1">
      <alignment vertical="center"/>
    </xf>
    <xf numFmtId="0" fontId="5" fillId="8" borderId="15" xfId="0" applyFont="1" applyFill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56" xfId="0" applyFill="1" applyBorder="1" applyAlignment="1">
      <alignment horizontal="left"/>
    </xf>
    <xf numFmtId="0" fontId="0" fillId="2" borderId="57" xfId="0" applyFill="1" applyBorder="1" applyAlignment="1">
      <alignment horizontal="left"/>
    </xf>
    <xf numFmtId="0" fontId="0" fillId="2" borderId="51" xfId="0" applyFill="1" applyBorder="1" applyAlignment="1">
      <alignment horizontal="left"/>
    </xf>
    <xf numFmtId="0" fontId="0" fillId="0" borderId="55" xfId="0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2" borderId="91" xfId="0" applyFill="1" applyBorder="1" applyAlignment="1">
      <alignment horizontal="left"/>
    </xf>
    <xf numFmtId="0" fontId="0" fillId="2" borderId="9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8" xfId="0" applyFill="1" applyBorder="1" applyAlignment="1">
      <alignment horizontal="left"/>
    </xf>
    <xf numFmtId="0" fontId="1" fillId="2" borderId="93" xfId="0" applyFont="1" applyFill="1" applyBorder="1" applyAlignment="1">
      <alignment horizontal="left"/>
    </xf>
    <xf numFmtId="0" fontId="0" fillId="2" borderId="49" xfId="0" applyFill="1" applyBorder="1" applyAlignment="1">
      <alignment horizontal="left"/>
    </xf>
    <xf numFmtId="0" fontId="0" fillId="0" borderId="7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5" fillId="11" borderId="74" xfId="0" applyFont="1" applyFill="1" applyBorder="1" applyAlignment="1">
      <alignment vertical="center" wrapText="1"/>
    </xf>
    <xf numFmtId="0" fontId="5" fillId="11" borderId="75" xfId="0" applyFont="1" applyFill="1" applyBorder="1" applyAlignment="1">
      <alignment vertical="center" wrapText="1"/>
    </xf>
    <xf numFmtId="0" fontId="4" fillId="7" borderId="73" xfId="0" applyFont="1" applyFill="1" applyBorder="1" applyAlignment="1">
      <alignment horizontal="center" vertical="center" wrapText="1"/>
    </xf>
    <xf numFmtId="0" fontId="4" fillId="7" borderId="77" xfId="0" applyFont="1" applyFill="1" applyBorder="1" applyAlignment="1">
      <alignment horizontal="center" vertical="center" wrapText="1"/>
    </xf>
    <xf numFmtId="0" fontId="4" fillId="7" borderId="80" xfId="0" applyFont="1" applyFill="1" applyBorder="1" applyAlignment="1">
      <alignment horizontal="center" vertical="center" wrapText="1"/>
    </xf>
    <xf numFmtId="0" fontId="5" fillId="11" borderId="81" xfId="0" applyFont="1" applyFill="1" applyBorder="1" applyAlignment="1">
      <alignment vertical="center" wrapText="1"/>
    </xf>
    <xf numFmtId="0" fontId="5" fillId="11" borderId="82" xfId="0" applyFont="1" applyFill="1" applyBorder="1" applyAlignment="1">
      <alignment vertical="center" wrapText="1"/>
    </xf>
  </cellXfs>
  <cellStyles count="5">
    <cellStyle name="Hyperlink" xfId="1" xr:uid="{00000000-000B-0000-0000-000008000000}"/>
    <cellStyle name="Moneda" xfId="2" builtinId="4"/>
    <cellStyle name="Normal" xfId="0" builtinId="0"/>
    <cellStyle name="Normal 2" xfId="3" xr:uid="{0A03ACC2-AB62-41DC-A5DC-B3C661421E21}"/>
    <cellStyle name="Normal 3" xfId="4" xr:uid="{ED6AE92C-E17E-420A-9671-59B9530F4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2"/>
  <sheetViews>
    <sheetView showGridLines="0" workbookViewId="0">
      <selection activeCell="S27" sqref="S27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 thickBo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6</v>
      </c>
      <c r="J3" s="92"/>
      <c r="K3" s="5" t="s">
        <v>7</v>
      </c>
      <c r="L3" s="30">
        <v>45158</v>
      </c>
    </row>
    <row r="4" spans="2:12" ht="15" customHeight="1" thickBo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8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4" t="s">
        <v>14</v>
      </c>
      <c r="H5" s="125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88" t="s">
        <v>21</v>
      </c>
      <c r="H6" s="89"/>
      <c r="I6" s="3">
        <v>600</v>
      </c>
      <c r="J6" s="3" t="s">
        <v>22</v>
      </c>
      <c r="K6" s="31">
        <v>3200</v>
      </c>
      <c r="L6" s="31">
        <f>(K6/1000)*I6</f>
        <v>1920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88" t="s">
        <v>25</v>
      </c>
      <c r="H7" s="89"/>
      <c r="I7" s="3">
        <v>1000</v>
      </c>
      <c r="J7" s="3" t="s">
        <v>22</v>
      </c>
      <c r="K7" s="31">
        <v>13900</v>
      </c>
      <c r="L7" s="31">
        <f t="shared" ref="L7:L16" si="0">(K7/1000)*I7</f>
        <v>13900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88" t="s">
        <v>28</v>
      </c>
      <c r="H8" s="89"/>
      <c r="I8" s="3">
        <v>2</v>
      </c>
      <c r="J8" s="3">
        <v>10</v>
      </c>
      <c r="K8" s="31">
        <v>16000</v>
      </c>
      <c r="L8" s="31">
        <f>(K8/J8)*I8</f>
        <v>3200</v>
      </c>
    </row>
    <row r="9" spans="2:12">
      <c r="G9" s="88" t="s">
        <v>29</v>
      </c>
      <c r="H9" s="89"/>
      <c r="I9" s="3">
        <v>200</v>
      </c>
      <c r="J9" s="3" t="s">
        <v>22</v>
      </c>
      <c r="K9" s="31">
        <v>22000</v>
      </c>
      <c r="L9" s="31">
        <f t="shared" si="0"/>
        <v>4400</v>
      </c>
    </row>
    <row r="10" spans="2:12">
      <c r="F10" s="11"/>
      <c r="G10" s="88" t="s">
        <v>30</v>
      </c>
      <c r="H10" s="89"/>
      <c r="I10" s="3">
        <v>50</v>
      </c>
      <c r="J10" s="3" t="s">
        <v>22</v>
      </c>
      <c r="K10" s="31">
        <v>24000</v>
      </c>
      <c r="L10" s="31">
        <f t="shared" si="0"/>
        <v>1200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33</v>
      </c>
      <c r="H11" s="89"/>
      <c r="I11" s="3">
        <v>200</v>
      </c>
      <c r="J11" s="3" t="s">
        <v>34</v>
      </c>
      <c r="K11" s="31">
        <v>19000</v>
      </c>
      <c r="L11" s="31">
        <f t="shared" si="0"/>
        <v>3800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37</v>
      </c>
      <c r="H12" s="89"/>
      <c r="I12" s="3">
        <v>700</v>
      </c>
      <c r="J12" s="3" t="s">
        <v>22</v>
      </c>
      <c r="K12" s="31">
        <v>25000</v>
      </c>
      <c r="L12" s="31">
        <f t="shared" si="0"/>
        <v>17500</v>
      </c>
    </row>
    <row r="13" spans="2:12" ht="15" customHeight="1">
      <c r="G13" s="88" t="s">
        <v>38</v>
      </c>
      <c r="H13" s="89"/>
      <c r="I13" s="3">
        <v>75</v>
      </c>
      <c r="J13" s="3" t="s">
        <v>22</v>
      </c>
      <c r="K13" s="31">
        <v>40700</v>
      </c>
      <c r="L13" s="31">
        <f t="shared" si="0"/>
        <v>3052.5</v>
      </c>
    </row>
    <row r="14" spans="2:12" ht="15" customHeight="1">
      <c r="G14" s="88" t="s">
        <v>39</v>
      </c>
      <c r="H14" s="89"/>
      <c r="I14" s="3">
        <v>1</v>
      </c>
      <c r="J14" s="3" t="s">
        <v>40</v>
      </c>
      <c r="K14" s="31">
        <v>4392</v>
      </c>
      <c r="L14" s="31">
        <f>K14</f>
        <v>4392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5336.4500000000007</v>
      </c>
      <c r="I17" s="103" t="s">
        <v>43</v>
      </c>
      <c r="J17" s="104"/>
      <c r="K17" s="105"/>
      <c r="L17" s="33">
        <f>SUM(L6:L16)</f>
        <v>53364.5</v>
      </c>
    </row>
    <row r="18" spans="2:12">
      <c r="B18" s="114"/>
      <c r="C18" s="75" t="s">
        <v>44</v>
      </c>
      <c r="D18" s="25">
        <f>L17*0.05</f>
        <v>2668.2250000000004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5336.4500000000007</v>
      </c>
    </row>
    <row r="19" spans="2:12">
      <c r="B19" s="115"/>
      <c r="C19" s="75" t="s">
        <v>47</v>
      </c>
      <c r="D19" s="25">
        <f>L17*0.05</f>
        <v>2668.2250000000004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10672.900000000001</v>
      </c>
    </row>
    <row r="20" spans="2:12">
      <c r="H20" s="8"/>
      <c r="I20" s="108" t="s">
        <v>49</v>
      </c>
      <c r="J20" s="107"/>
      <c r="K20" s="107"/>
      <c r="L20" s="34">
        <f>L17+L18+L19</f>
        <v>69373.850000000006</v>
      </c>
    </row>
    <row r="21" spans="2:12">
      <c r="H21" s="8"/>
      <c r="I21" s="116" t="s">
        <v>50</v>
      </c>
      <c r="J21" s="117"/>
      <c r="K21" s="117"/>
      <c r="L21" s="35">
        <f>L20/L4</f>
        <v>8671.7312500000007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13007.596875000001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500.29218750000007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1040.6077500000001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2471.4434062500004</v>
      </c>
    </row>
    <row r="26" spans="2:12">
      <c r="H26" s="8"/>
      <c r="I26" s="101" t="s">
        <v>59</v>
      </c>
      <c r="J26" s="102"/>
      <c r="K26" s="102"/>
      <c r="L26" s="37">
        <f>SUM(L22:L25)</f>
        <v>17019.940218750002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B17:B19"/>
    <mergeCell ref="I21:K21"/>
    <mergeCell ref="C2:D2"/>
    <mergeCell ref="C3:D3"/>
    <mergeCell ref="C4:D4"/>
    <mergeCell ref="C5:D5"/>
    <mergeCell ref="C6:D6"/>
    <mergeCell ref="G11:H11"/>
    <mergeCell ref="C7:D7"/>
    <mergeCell ref="C8:D8"/>
    <mergeCell ref="C12:D12"/>
    <mergeCell ref="G5:H5"/>
    <mergeCell ref="G6:H6"/>
    <mergeCell ref="G7:H7"/>
    <mergeCell ref="G8:H8"/>
    <mergeCell ref="G9:H9"/>
    <mergeCell ref="I25:K25"/>
    <mergeCell ref="I26:K26"/>
    <mergeCell ref="G12:H12"/>
    <mergeCell ref="G16:H16"/>
    <mergeCell ref="I17:K17"/>
    <mergeCell ref="I18:K18"/>
    <mergeCell ref="I19:K19"/>
    <mergeCell ref="I20:K20"/>
    <mergeCell ref="I22:K22"/>
    <mergeCell ref="I24:K24"/>
    <mergeCell ref="G13:H13"/>
    <mergeCell ref="G14:H14"/>
    <mergeCell ref="G15:H15"/>
    <mergeCell ref="I23:K23"/>
    <mergeCell ref="G10:H10"/>
    <mergeCell ref="I2:L2"/>
    <mergeCell ref="I3:J3"/>
    <mergeCell ref="G3:H3"/>
    <mergeCell ref="G4:H4"/>
    <mergeCell ref="I4:J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0534-5EDE-4AAE-A42E-AAC6D25DE7F6}">
  <dimension ref="B1:L32"/>
  <sheetViews>
    <sheetView showGridLines="0" workbookViewId="0">
      <selection activeCell="O10" sqref="O10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60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4" t="s">
        <v>14</v>
      </c>
      <c r="H5" s="125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88" t="s">
        <v>61</v>
      </c>
      <c r="H6" s="89"/>
      <c r="I6" s="3">
        <v>280</v>
      </c>
      <c r="J6" s="3" t="s">
        <v>22</v>
      </c>
      <c r="K6" s="31">
        <v>46500</v>
      </c>
      <c r="L6" s="31">
        <f>(K6/1000)*I6</f>
        <v>13020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88" t="s">
        <v>62</v>
      </c>
      <c r="H7" s="89"/>
      <c r="I7" s="3">
        <v>13</v>
      </c>
      <c r="J7" s="3" t="s">
        <v>22</v>
      </c>
      <c r="K7" s="31">
        <v>33600</v>
      </c>
      <c r="L7" s="31">
        <f t="shared" ref="L7:L16" si="0">(K7/1000)*I7</f>
        <v>436.8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88" t="s">
        <v>63</v>
      </c>
      <c r="H8" s="89"/>
      <c r="I8" s="3">
        <v>65</v>
      </c>
      <c r="J8" s="3" t="s">
        <v>22</v>
      </c>
      <c r="K8" s="31">
        <v>23200</v>
      </c>
      <c r="L8" s="31">
        <f t="shared" si="0"/>
        <v>1508</v>
      </c>
    </row>
    <row r="9" spans="2:12">
      <c r="G9" s="88" t="s">
        <v>64</v>
      </c>
      <c r="H9" s="89"/>
      <c r="I9" s="3">
        <v>17</v>
      </c>
      <c r="J9" s="3" t="s">
        <v>22</v>
      </c>
      <c r="K9" s="31">
        <v>15000</v>
      </c>
      <c r="L9" s="31">
        <f t="shared" si="0"/>
        <v>255</v>
      </c>
    </row>
    <row r="10" spans="2:12">
      <c r="F10" s="11"/>
      <c r="G10" s="88" t="s">
        <v>65</v>
      </c>
      <c r="H10" s="89"/>
      <c r="I10" s="3">
        <v>12</v>
      </c>
      <c r="J10" s="3" t="s">
        <v>22</v>
      </c>
      <c r="K10" s="31">
        <v>12000</v>
      </c>
      <c r="L10" s="31">
        <f t="shared" si="0"/>
        <v>144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66</v>
      </c>
      <c r="H11" s="89"/>
      <c r="I11" s="3">
        <v>44</v>
      </c>
      <c r="J11" s="3" t="s">
        <v>22</v>
      </c>
      <c r="K11" s="31">
        <v>4500</v>
      </c>
      <c r="L11" s="31">
        <f t="shared" si="0"/>
        <v>198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67</v>
      </c>
      <c r="H12" s="89"/>
      <c r="I12" s="3">
        <v>18</v>
      </c>
      <c r="J12" s="3" t="s">
        <v>22</v>
      </c>
      <c r="K12" s="31">
        <v>15000</v>
      </c>
      <c r="L12" s="31">
        <f t="shared" si="0"/>
        <v>270</v>
      </c>
    </row>
    <row r="13" spans="2:12" ht="15" customHeight="1">
      <c r="G13" s="88" t="s">
        <v>68</v>
      </c>
      <c r="H13" s="89"/>
      <c r="I13" s="3">
        <v>27</v>
      </c>
      <c r="J13" s="3" t="s">
        <v>22</v>
      </c>
      <c r="K13" s="31">
        <v>4400</v>
      </c>
      <c r="L13" s="31">
        <f t="shared" si="0"/>
        <v>118.80000000000001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1595.06</v>
      </c>
      <c r="I17" s="103" t="s">
        <v>43</v>
      </c>
      <c r="J17" s="104"/>
      <c r="K17" s="105"/>
      <c r="L17" s="33">
        <f>SUM(L6:L16)</f>
        <v>15950.599999999999</v>
      </c>
    </row>
    <row r="18" spans="2:12">
      <c r="B18" s="114"/>
      <c r="C18" s="75" t="s">
        <v>44</v>
      </c>
      <c r="D18" s="25">
        <f>L17*0.05</f>
        <v>797.53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1595.06</v>
      </c>
    </row>
    <row r="19" spans="2:12">
      <c r="B19" s="115"/>
      <c r="C19" s="75" t="s">
        <v>47</v>
      </c>
      <c r="D19" s="25">
        <f>L17*0.05</f>
        <v>797.53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3190.12</v>
      </c>
    </row>
    <row r="20" spans="2:12">
      <c r="H20" s="8"/>
      <c r="I20" s="108" t="s">
        <v>49</v>
      </c>
      <c r="J20" s="107"/>
      <c r="K20" s="107"/>
      <c r="L20" s="34">
        <f>L17+L18+L19</f>
        <v>20735.78</v>
      </c>
    </row>
    <row r="21" spans="2:12">
      <c r="H21" s="8"/>
      <c r="I21" s="116" t="s">
        <v>50</v>
      </c>
      <c r="J21" s="117"/>
      <c r="K21" s="117"/>
      <c r="L21" s="35">
        <f>L20/L4</f>
        <v>20735.78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31103.67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1196.2950000000001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2488.2936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5909.6972999999998</v>
      </c>
    </row>
    <row r="26" spans="2:12">
      <c r="H26" s="8"/>
      <c r="I26" s="101" t="s">
        <v>59</v>
      </c>
      <c r="J26" s="102"/>
      <c r="K26" s="102"/>
      <c r="L26" s="37">
        <f>SUM(L22:L25)</f>
        <v>40697.955899999994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D7C8-D4C1-4219-A336-792D479B2EF2}">
  <dimension ref="B1:L32"/>
  <sheetViews>
    <sheetView showGridLines="0" workbookViewId="0">
      <selection activeCell="L6" sqref="L6:L11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  <col min="13" max="13" width="9.140625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69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30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70</v>
      </c>
      <c r="H6" s="130"/>
      <c r="I6" s="48">
        <v>1000</v>
      </c>
      <c r="J6" s="46" t="s">
        <v>22</v>
      </c>
      <c r="K6" s="47">
        <v>5000</v>
      </c>
      <c r="L6" s="31">
        <f>(K6/1000)*I6</f>
        <v>5000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88" t="s">
        <v>71</v>
      </c>
      <c r="H7" s="89"/>
      <c r="I7" s="26">
        <v>200</v>
      </c>
      <c r="J7" s="3" t="s">
        <v>34</v>
      </c>
      <c r="K7" s="31">
        <v>9000</v>
      </c>
      <c r="L7" s="31">
        <f>(K7/1000)*I7</f>
        <v>1800</v>
      </c>
    </row>
    <row r="8" spans="2:12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26" t="s">
        <v>72</v>
      </c>
      <c r="H8" s="127"/>
      <c r="I8" s="3">
        <v>200</v>
      </c>
      <c r="J8" s="3" t="s">
        <v>22</v>
      </c>
      <c r="K8" s="31">
        <v>7000</v>
      </c>
      <c r="L8" s="31">
        <f>(K8/1000)*I8</f>
        <v>1400</v>
      </c>
    </row>
    <row r="9" spans="2:12">
      <c r="G9" s="88" t="s">
        <v>73</v>
      </c>
      <c r="H9" s="89"/>
      <c r="I9" s="3">
        <v>10</v>
      </c>
      <c r="J9" s="3" t="s">
        <v>22</v>
      </c>
      <c r="K9" s="31">
        <v>4000</v>
      </c>
      <c r="L9" s="31">
        <f>(K9/1000)*I9</f>
        <v>40</v>
      </c>
    </row>
    <row r="10" spans="2:12">
      <c r="F10" s="11"/>
      <c r="G10" s="88" t="s">
        <v>74</v>
      </c>
      <c r="H10" s="89"/>
      <c r="I10" s="3">
        <v>100</v>
      </c>
      <c r="J10" s="3" t="s">
        <v>22</v>
      </c>
      <c r="K10" s="31">
        <v>5000</v>
      </c>
      <c r="L10" s="31">
        <f t="shared" ref="L10:L15" si="0">(K10/1000)*I10</f>
        <v>500</v>
      </c>
    </row>
    <row r="11" spans="2:12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75</v>
      </c>
      <c r="H11" s="89"/>
      <c r="I11" s="3">
        <v>2</v>
      </c>
      <c r="J11" s="3">
        <v>30</v>
      </c>
      <c r="K11" s="31">
        <v>17000</v>
      </c>
      <c r="L11" s="31">
        <f>(K11/J11)*I11</f>
        <v>1133.3333333333333</v>
      </c>
    </row>
    <row r="12" spans="2:12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12:L15" si="1">(K12/1000)*I12</f>
        <v>0</v>
      </c>
    </row>
    <row r="13" spans="2:12">
      <c r="G13" s="88"/>
      <c r="H13" s="89"/>
      <c r="I13" s="3"/>
      <c r="J13" s="3"/>
      <c r="K13" s="31"/>
      <c r="L13" s="31">
        <f t="shared" si="1"/>
        <v>0</v>
      </c>
    </row>
    <row r="14" spans="2:12">
      <c r="G14" s="88"/>
      <c r="H14" s="89"/>
      <c r="I14" s="3"/>
      <c r="J14" s="3"/>
      <c r="K14" s="31"/>
      <c r="L14" s="31">
        <f>(K14/720)*I14</f>
        <v>0</v>
      </c>
    </row>
    <row r="15" spans="2:12">
      <c r="G15" s="88"/>
      <c r="H15" s="89"/>
      <c r="I15" s="3"/>
      <c r="J15" s="3"/>
      <c r="K15" s="31"/>
      <c r="L15" s="31">
        <f t="shared" ref="L15:L16" si="2">(K15/1000)*I15</f>
        <v>0</v>
      </c>
    </row>
    <row r="16" spans="2:12" ht="15" customHeight="1">
      <c r="G16" s="88"/>
      <c r="H16" s="89"/>
      <c r="I16" s="26"/>
      <c r="J16" s="26"/>
      <c r="K16" s="32"/>
      <c r="L16" s="31">
        <f t="shared" si="2"/>
        <v>0</v>
      </c>
    </row>
    <row r="17" spans="2:12">
      <c r="B17" s="113" t="s">
        <v>41</v>
      </c>
      <c r="C17" s="75" t="s">
        <v>42</v>
      </c>
      <c r="D17" s="25">
        <f>L18</f>
        <v>987.33333333333348</v>
      </c>
      <c r="I17" s="103" t="s">
        <v>43</v>
      </c>
      <c r="J17" s="104"/>
      <c r="K17" s="105"/>
      <c r="L17" s="33">
        <f>SUM(L6:L16)</f>
        <v>9873.3333333333339</v>
      </c>
    </row>
    <row r="18" spans="2:12">
      <c r="B18" s="114"/>
      <c r="C18" s="75" t="s">
        <v>44</v>
      </c>
      <c r="D18" s="25">
        <f>L17*0.05</f>
        <v>493.66666666666674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987.33333333333348</v>
      </c>
    </row>
    <row r="19" spans="2:12">
      <c r="B19" s="115"/>
      <c r="C19" s="75" t="s">
        <v>47</v>
      </c>
      <c r="D19" s="25">
        <f>L17*0.05</f>
        <v>493.66666666666674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1974.666666666667</v>
      </c>
    </row>
    <row r="20" spans="2:12">
      <c r="H20" s="8"/>
      <c r="I20" s="108" t="s">
        <v>49</v>
      </c>
      <c r="J20" s="107"/>
      <c r="K20" s="107"/>
      <c r="L20" s="34">
        <f>L17+L18+L19</f>
        <v>12835.333333333336</v>
      </c>
    </row>
    <row r="21" spans="2:12">
      <c r="H21" s="8"/>
      <c r="I21" s="116" t="s">
        <v>50</v>
      </c>
      <c r="J21" s="117"/>
      <c r="K21" s="117"/>
      <c r="L21" s="35">
        <f>L20/L4</f>
        <v>427.84444444444455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641.76666666666688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24.683333333333344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51.341333333333353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121.93566666666671</v>
      </c>
    </row>
    <row r="26" spans="2:12">
      <c r="H26" s="8"/>
      <c r="I26" s="101" t="s">
        <v>59</v>
      </c>
      <c r="J26" s="102"/>
      <c r="K26" s="102"/>
      <c r="L26" s="37">
        <f>SUM(L22:L25)</f>
        <v>839.72700000000032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C5:D5"/>
    <mergeCell ref="G5:H5"/>
    <mergeCell ref="C6:D6"/>
    <mergeCell ref="G6:H6"/>
    <mergeCell ref="C7:D7"/>
    <mergeCell ref="G7:H7"/>
    <mergeCell ref="C12:D12"/>
    <mergeCell ref="G12:H12"/>
    <mergeCell ref="G13:H13"/>
    <mergeCell ref="C8:D8"/>
    <mergeCell ref="G8:H8"/>
    <mergeCell ref="G9:H9"/>
    <mergeCell ref="G10:H10"/>
    <mergeCell ref="I21:K21"/>
    <mergeCell ref="G14:H14"/>
    <mergeCell ref="G15:H15"/>
    <mergeCell ref="G16:H16"/>
    <mergeCell ref="G11:H11"/>
    <mergeCell ref="B17:B19"/>
    <mergeCell ref="I17:K17"/>
    <mergeCell ref="I18:K18"/>
    <mergeCell ref="I19:K19"/>
    <mergeCell ref="I20:K20"/>
    <mergeCell ref="I22:K22"/>
    <mergeCell ref="I23:K23"/>
    <mergeCell ref="I24:K24"/>
    <mergeCell ref="I25:K25"/>
    <mergeCell ref="I26:K26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577F-BDDC-41BC-BAD2-14A7E71F845A}">
  <dimension ref="B1:L32"/>
  <sheetViews>
    <sheetView showGridLines="0" workbookViewId="0">
      <selection activeCell="N10" sqref="N10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69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34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76</v>
      </c>
      <c r="H6" s="130"/>
      <c r="I6" s="48">
        <v>1000</v>
      </c>
      <c r="J6" s="46" t="s">
        <v>22</v>
      </c>
      <c r="K6" s="47">
        <v>12600</v>
      </c>
      <c r="L6" s="31">
        <f>(K6/1000)*I6</f>
        <v>12600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1" t="s">
        <v>77</v>
      </c>
      <c r="H7" s="89"/>
      <c r="I7" s="3">
        <v>500</v>
      </c>
      <c r="J7" s="3" t="s">
        <v>22</v>
      </c>
      <c r="K7" s="31">
        <v>20000</v>
      </c>
      <c r="L7" s="31">
        <f>(K7/1000)*I7</f>
        <v>10000</v>
      </c>
    </row>
    <row r="8" spans="2:12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1" t="s">
        <v>78</v>
      </c>
      <c r="H8" s="89"/>
      <c r="I8" s="3">
        <v>500</v>
      </c>
      <c r="J8" s="3" t="s">
        <v>22</v>
      </c>
      <c r="K8" s="31">
        <v>20000</v>
      </c>
      <c r="L8" s="31">
        <f>(K8/1000)*I8</f>
        <v>10000</v>
      </c>
    </row>
    <row r="9" spans="2:12">
      <c r="G9" s="88" t="s">
        <v>79</v>
      </c>
      <c r="H9" s="89"/>
      <c r="I9" s="3">
        <v>250</v>
      </c>
      <c r="J9" s="3" t="s">
        <v>22</v>
      </c>
      <c r="K9" s="31">
        <v>7000</v>
      </c>
      <c r="L9" s="31">
        <f>(K9/1000)*I9</f>
        <v>1750</v>
      </c>
    </row>
    <row r="10" spans="2:12">
      <c r="F10" s="11"/>
      <c r="G10" s="88" t="s">
        <v>80</v>
      </c>
      <c r="H10" s="89"/>
      <c r="I10" s="26">
        <v>12</v>
      </c>
      <c r="J10" s="3" t="s">
        <v>22</v>
      </c>
      <c r="K10" s="31">
        <v>20000</v>
      </c>
      <c r="L10" s="31">
        <f t="shared" ref="L10:L15" si="0">(K10/1000)*I10</f>
        <v>240</v>
      </c>
    </row>
    <row r="11" spans="2:12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26"/>
      <c r="J11" s="3"/>
      <c r="K11" s="31"/>
      <c r="L11" s="31">
        <f t="shared" ref="L11:L15" si="1">(K11/1000)*I11</f>
        <v>0</v>
      </c>
    </row>
    <row r="12" spans="2:12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1"/>
        <v>0</v>
      </c>
    </row>
    <row r="13" spans="2:12">
      <c r="G13" s="88"/>
      <c r="H13" s="89"/>
      <c r="I13" s="3"/>
      <c r="J13" s="3"/>
      <c r="K13" s="31"/>
      <c r="L13" s="31">
        <f t="shared" si="1"/>
        <v>0</v>
      </c>
    </row>
    <row r="14" spans="2:12">
      <c r="G14" s="88"/>
      <c r="H14" s="89"/>
      <c r="I14" s="3"/>
      <c r="J14" s="3"/>
      <c r="K14" s="31"/>
      <c r="L14" s="31">
        <f>(K14/720)*I14</f>
        <v>0</v>
      </c>
    </row>
    <row r="15" spans="2:12">
      <c r="G15" s="88"/>
      <c r="H15" s="89"/>
      <c r="I15" s="3"/>
      <c r="J15" s="3"/>
      <c r="K15" s="31"/>
      <c r="L15" s="31">
        <f t="shared" ref="L15" si="2">(K15/1000)*I15</f>
        <v>0</v>
      </c>
    </row>
    <row r="16" spans="2:12" ht="15" customHeight="1">
      <c r="G16" s="88"/>
      <c r="H16" s="89"/>
      <c r="I16" s="26"/>
      <c r="J16" s="26"/>
      <c r="K16" s="32"/>
      <c r="L16" s="31">
        <f t="shared" ref="L16" si="3">(K16/1000)*I16</f>
        <v>0</v>
      </c>
    </row>
    <row r="17" spans="2:12">
      <c r="B17" s="113" t="s">
        <v>41</v>
      </c>
      <c r="C17" s="75" t="s">
        <v>42</v>
      </c>
      <c r="D17" s="25">
        <f>L18</f>
        <v>3459</v>
      </c>
      <c r="I17" s="103" t="s">
        <v>43</v>
      </c>
      <c r="J17" s="104"/>
      <c r="K17" s="105"/>
      <c r="L17" s="33">
        <f>SUM(L6:L16)</f>
        <v>34590</v>
      </c>
    </row>
    <row r="18" spans="2:12">
      <c r="B18" s="114"/>
      <c r="C18" s="75" t="s">
        <v>44</v>
      </c>
      <c r="D18" s="25">
        <f>L17*0.05</f>
        <v>1729.5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3459</v>
      </c>
    </row>
    <row r="19" spans="2:12">
      <c r="B19" s="115"/>
      <c r="C19" s="75" t="s">
        <v>47</v>
      </c>
      <c r="D19" s="25">
        <f>L17*0.05</f>
        <v>1729.5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6918</v>
      </c>
    </row>
    <row r="20" spans="2:12">
      <c r="H20" s="8"/>
      <c r="I20" s="108" t="s">
        <v>49</v>
      </c>
      <c r="J20" s="107"/>
      <c r="K20" s="107"/>
      <c r="L20" s="34">
        <f>L17+L18+L19</f>
        <v>44967</v>
      </c>
    </row>
    <row r="21" spans="2:12">
      <c r="H21" s="8"/>
      <c r="I21" s="116" t="s">
        <v>50</v>
      </c>
      <c r="J21" s="117"/>
      <c r="K21" s="117"/>
      <c r="L21" s="35">
        <f>L20/L4</f>
        <v>1322.5588235294117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1983.8382352941176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76.30147058823529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158.70705882352942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376.92926470588236</v>
      </c>
    </row>
    <row r="26" spans="2:12">
      <c r="H26" s="8"/>
      <c r="I26" s="101" t="s">
        <v>59</v>
      </c>
      <c r="J26" s="102"/>
      <c r="K26" s="102"/>
      <c r="L26" s="37">
        <f>SUM(L22:L25)</f>
        <v>2595.7760294117643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3CFF-8C7F-48C6-8503-6B95661F15D4}">
  <dimension ref="B1:L32"/>
  <sheetViews>
    <sheetView showGridLines="0" workbookViewId="0">
      <selection activeCell="J30" sqref="J30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81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82</v>
      </c>
      <c r="H6" s="130"/>
      <c r="I6" s="48">
        <v>75</v>
      </c>
      <c r="J6" s="46" t="s">
        <v>22</v>
      </c>
      <c r="K6" s="47">
        <v>25000</v>
      </c>
      <c r="L6" s="31">
        <f>(K6/1000)*I6</f>
        <v>1875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83</v>
      </c>
      <c r="H7" s="127"/>
      <c r="I7" s="3">
        <v>40</v>
      </c>
      <c r="J7" s="3" t="s">
        <v>22</v>
      </c>
      <c r="K7" s="31">
        <v>3075</v>
      </c>
      <c r="L7" s="31">
        <f>(K7/1000)*I7</f>
        <v>123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84</v>
      </c>
      <c r="H8" s="132"/>
      <c r="I8" s="46">
        <v>1500</v>
      </c>
      <c r="J8" s="46">
        <v>250</v>
      </c>
      <c r="K8" s="47">
        <v>13000</v>
      </c>
      <c r="L8" s="31">
        <f>K8/(I8/J8)</f>
        <v>2166.6666666666665</v>
      </c>
    </row>
    <row r="9" spans="2:12">
      <c r="G9" s="88" t="s">
        <v>85</v>
      </c>
      <c r="H9" s="89"/>
      <c r="I9" s="3">
        <v>20</v>
      </c>
      <c r="J9" s="3"/>
      <c r="K9" s="31">
        <v>10000</v>
      </c>
      <c r="L9" s="31">
        <f t="shared" ref="L9:L16" si="0">(K9/1000)*I9</f>
        <v>200</v>
      </c>
    </row>
    <row r="10" spans="2:12">
      <c r="F10" s="11"/>
      <c r="G10" s="88" t="s">
        <v>86</v>
      </c>
      <c r="H10" s="89"/>
      <c r="I10" s="3"/>
      <c r="J10" s="3">
        <v>0.33300000000000002</v>
      </c>
      <c r="K10" s="31">
        <v>2500</v>
      </c>
      <c r="L10" s="31">
        <f>K10*J10</f>
        <v>832.5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87</v>
      </c>
      <c r="H11" s="89"/>
      <c r="I11" s="3">
        <v>200</v>
      </c>
      <c r="J11" s="3"/>
      <c r="K11" s="31">
        <v>20000</v>
      </c>
      <c r="L11" s="31">
        <f>(I11/1000)*K11</f>
        <v>4000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88</v>
      </c>
      <c r="H12" s="89"/>
      <c r="I12" s="3">
        <v>7</v>
      </c>
      <c r="J12" s="3">
        <v>95</v>
      </c>
      <c r="K12" s="31">
        <v>47000</v>
      </c>
      <c r="L12" s="31">
        <f>(K12/J12)*I12</f>
        <v>3463.1578947368421</v>
      </c>
    </row>
    <row r="13" spans="2:12" ht="15" customHeight="1">
      <c r="G13" s="88" t="s">
        <v>89</v>
      </c>
      <c r="H13" s="89"/>
      <c r="I13" s="3"/>
      <c r="J13" s="3">
        <v>1</v>
      </c>
      <c r="K13" s="31">
        <v>1000</v>
      </c>
      <c r="L13" s="31">
        <f>K13</f>
        <v>1000</v>
      </c>
    </row>
    <row r="14" spans="2:12" ht="15" customHeight="1">
      <c r="G14" s="88" t="s">
        <v>90</v>
      </c>
      <c r="H14" s="89"/>
      <c r="I14" s="3"/>
      <c r="J14" s="3">
        <v>50</v>
      </c>
      <c r="K14" s="31">
        <v>17000</v>
      </c>
      <c r="L14" s="31">
        <f>K14/J14</f>
        <v>340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1400.0324561403509</v>
      </c>
      <c r="I17" s="103" t="s">
        <v>43</v>
      </c>
      <c r="J17" s="104"/>
      <c r="K17" s="105"/>
      <c r="L17" s="33">
        <f>SUM(L6:L16)</f>
        <v>14000.324561403508</v>
      </c>
    </row>
    <row r="18" spans="2:12">
      <c r="B18" s="114"/>
      <c r="C18" s="75" t="s">
        <v>44</v>
      </c>
      <c r="D18" s="25">
        <f>L17*0.05</f>
        <v>700.01622807017543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1400.0324561403509</v>
      </c>
    </row>
    <row r="19" spans="2:12">
      <c r="B19" s="115"/>
      <c r="C19" s="75" t="s">
        <v>47</v>
      </c>
      <c r="D19" s="25">
        <f>L17*0.05</f>
        <v>700.01622807017543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2800.0649122807017</v>
      </c>
    </row>
    <row r="20" spans="2:12">
      <c r="H20" s="8"/>
      <c r="I20" s="108" t="s">
        <v>49</v>
      </c>
      <c r="J20" s="107"/>
      <c r="K20" s="107"/>
      <c r="L20" s="34">
        <f>L17+L18+L19</f>
        <v>18200.421929824559</v>
      </c>
    </row>
    <row r="21" spans="2:12">
      <c r="H21" s="8"/>
      <c r="I21" s="116" t="s">
        <v>50</v>
      </c>
      <c r="J21" s="117"/>
      <c r="K21" s="117"/>
      <c r="L21" s="35">
        <f>L20/L4</f>
        <v>18200.421929824559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27300.632894736838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1050.024342105263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2184.0506315789471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5187.120249999999</v>
      </c>
    </row>
    <row r="26" spans="2:12">
      <c r="H26" s="8"/>
      <c r="I26" s="101" t="s">
        <v>59</v>
      </c>
      <c r="J26" s="102"/>
      <c r="K26" s="102"/>
      <c r="L26" s="37">
        <f>SUM(L22:L25)</f>
        <v>35721.828118421043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30EE-CCD7-498A-9473-658667B6E772}">
  <dimension ref="B1:L32"/>
  <sheetViews>
    <sheetView showGridLines="0" workbookViewId="0">
      <selection activeCell="N10" sqref="N10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91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92</v>
      </c>
      <c r="H6" s="130"/>
      <c r="I6" s="48">
        <v>70</v>
      </c>
      <c r="J6" s="46" t="s">
        <v>22</v>
      </c>
      <c r="K6" s="47">
        <v>25000</v>
      </c>
      <c r="L6" s="31">
        <f>(K6/1000)*I6</f>
        <v>1750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83</v>
      </c>
      <c r="H7" s="127"/>
      <c r="I7" s="3">
        <v>40</v>
      </c>
      <c r="J7" s="3" t="s">
        <v>22</v>
      </c>
      <c r="K7" s="31">
        <v>3075</v>
      </c>
      <c r="L7" s="31">
        <f>(K7/1000)*I7</f>
        <v>123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93</v>
      </c>
      <c r="H8" s="132"/>
      <c r="I8" s="46"/>
      <c r="J8" s="46">
        <v>8</v>
      </c>
      <c r="K8" s="47">
        <v>7000</v>
      </c>
      <c r="L8" s="31">
        <f>K8/J8</f>
        <v>875</v>
      </c>
    </row>
    <row r="9" spans="2:12">
      <c r="G9" s="88" t="s">
        <v>85</v>
      </c>
      <c r="H9" s="89"/>
      <c r="I9" s="3">
        <v>20</v>
      </c>
      <c r="J9" s="3"/>
      <c r="K9" s="31">
        <v>10000</v>
      </c>
      <c r="L9" s="31">
        <f t="shared" ref="L9:L16" si="0">(K9/1000)*I9</f>
        <v>200</v>
      </c>
    </row>
    <row r="10" spans="2:12">
      <c r="F10" s="11"/>
      <c r="G10" s="88" t="s">
        <v>94</v>
      </c>
      <c r="H10" s="89"/>
      <c r="I10" s="3">
        <v>40</v>
      </c>
      <c r="J10" s="3">
        <v>80</v>
      </c>
      <c r="K10" s="31">
        <v>2500</v>
      </c>
      <c r="L10" s="31">
        <f>K10/J10*I10</f>
        <v>1250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95</v>
      </c>
      <c r="H11" s="89"/>
      <c r="I11" s="3">
        <v>1</v>
      </c>
      <c r="J11" s="3">
        <v>30</v>
      </c>
      <c r="K11" s="31">
        <v>10000</v>
      </c>
      <c r="L11" s="31">
        <f>(K11/J11)*I11</f>
        <v>333.33333333333331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88</v>
      </c>
      <c r="H12" s="89"/>
      <c r="I12" s="3">
        <v>1</v>
      </c>
      <c r="J12" s="3">
        <v>95</v>
      </c>
      <c r="K12" s="31">
        <v>47000</v>
      </c>
      <c r="L12" s="31">
        <f>(K12/J12)*I12</f>
        <v>494.73684210526318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502.60701754385968</v>
      </c>
      <c r="I17" s="103" t="s">
        <v>43</v>
      </c>
      <c r="J17" s="104"/>
      <c r="K17" s="105"/>
      <c r="L17" s="33">
        <f>SUM(L6:L16)</f>
        <v>5026.0701754385964</v>
      </c>
    </row>
    <row r="18" spans="2:12">
      <c r="B18" s="114"/>
      <c r="C18" s="75" t="s">
        <v>44</v>
      </c>
      <c r="D18" s="25">
        <f>L17*0.05</f>
        <v>251.30350877192984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502.60701754385968</v>
      </c>
    </row>
    <row r="19" spans="2:12">
      <c r="B19" s="115"/>
      <c r="C19" s="75" t="s">
        <v>47</v>
      </c>
      <c r="D19" s="25">
        <f>L17*0.05</f>
        <v>251.30350877192984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1005.2140350877194</v>
      </c>
    </row>
    <row r="20" spans="2:12">
      <c r="H20" s="8"/>
      <c r="I20" s="108" t="s">
        <v>49</v>
      </c>
      <c r="J20" s="107"/>
      <c r="K20" s="107"/>
      <c r="L20" s="34">
        <f>L17+L18+L19</f>
        <v>6533.8912280701752</v>
      </c>
    </row>
    <row r="21" spans="2:12">
      <c r="H21" s="8"/>
      <c r="I21" s="116" t="s">
        <v>50</v>
      </c>
      <c r="J21" s="117"/>
      <c r="K21" s="117"/>
      <c r="L21" s="35">
        <f>L20/L4</f>
        <v>6533.8912280701752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9800.8368421052619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376.95526315789471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784.06694736842098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1862.1589999999999</v>
      </c>
    </row>
    <row r="26" spans="2:12">
      <c r="H26" s="8"/>
      <c r="I26" s="101" t="s">
        <v>59</v>
      </c>
      <c r="J26" s="102"/>
      <c r="K26" s="102"/>
      <c r="L26" s="37">
        <f>SUM(L22:L25)</f>
        <v>12824.018052631578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E3FE-C052-425D-870B-A8F8ADEAAB65}">
  <dimension ref="B1:L32"/>
  <sheetViews>
    <sheetView showGridLines="0" workbookViewId="0">
      <selection activeCell="G6" sqref="G6:H6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91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37</v>
      </c>
      <c r="H6" s="130"/>
      <c r="I6" s="48">
        <v>50</v>
      </c>
      <c r="J6" s="46" t="s">
        <v>22</v>
      </c>
      <c r="K6" s="47">
        <v>15000</v>
      </c>
      <c r="L6" s="31">
        <f>(K6/1000)*I6</f>
        <v>750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83</v>
      </c>
      <c r="H7" s="127"/>
      <c r="I7" s="3">
        <v>10</v>
      </c>
      <c r="J7" s="3" t="s">
        <v>22</v>
      </c>
      <c r="K7" s="31">
        <v>3075</v>
      </c>
      <c r="L7" s="31">
        <f>(K7/1000)*I7</f>
        <v>30.75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96</v>
      </c>
      <c r="H8" s="132"/>
      <c r="I8" s="46"/>
      <c r="J8" s="46">
        <v>20</v>
      </c>
      <c r="K8" s="47">
        <v>12835</v>
      </c>
      <c r="L8" s="31">
        <f>K8/J8</f>
        <v>641.75</v>
      </c>
    </row>
    <row r="9" spans="2:12">
      <c r="G9" s="88"/>
      <c r="H9" s="89"/>
      <c r="I9" s="3"/>
      <c r="J9" s="3"/>
      <c r="K9" s="31"/>
      <c r="L9" s="31">
        <f t="shared" ref="L7:L13" si="0">(K9/1000)*I9</f>
        <v>0</v>
      </c>
    </row>
    <row r="10" spans="2:12">
      <c r="F10" s="11"/>
      <c r="G10" s="88"/>
      <c r="H10" s="89"/>
      <c r="I10" s="3"/>
      <c r="J10" s="3"/>
      <c r="K10" s="31"/>
      <c r="L10" s="31">
        <f t="shared" si="0"/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ref="L7:L16" si="1">(K14/1000)*I14</f>
        <v>0</v>
      </c>
    </row>
    <row r="15" spans="2:12" ht="15" customHeight="1">
      <c r="G15" s="88"/>
      <c r="H15" s="89"/>
      <c r="I15" s="3"/>
      <c r="J15" s="3"/>
      <c r="K15" s="31"/>
      <c r="L15" s="31">
        <f t="shared" si="1"/>
        <v>0</v>
      </c>
    </row>
    <row r="16" spans="2:12" ht="15" customHeight="1">
      <c r="G16" s="88"/>
      <c r="H16" s="89"/>
      <c r="I16" s="26"/>
      <c r="J16" s="26"/>
      <c r="K16" s="32"/>
      <c r="L16" s="31">
        <f t="shared" si="1"/>
        <v>0</v>
      </c>
    </row>
    <row r="17" spans="2:12">
      <c r="B17" s="113" t="s">
        <v>41</v>
      </c>
      <c r="C17" s="75" t="s">
        <v>42</v>
      </c>
      <c r="D17" s="25">
        <f>L18</f>
        <v>142.25</v>
      </c>
      <c r="I17" s="103" t="s">
        <v>43</v>
      </c>
      <c r="J17" s="104"/>
      <c r="K17" s="105"/>
      <c r="L17" s="33">
        <f>SUM(L6:L16)</f>
        <v>1422.5</v>
      </c>
    </row>
    <row r="18" spans="2:12">
      <c r="B18" s="114"/>
      <c r="C18" s="75" t="s">
        <v>44</v>
      </c>
      <c r="D18" s="25">
        <f>L17*0.05</f>
        <v>71.125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142.25</v>
      </c>
    </row>
    <row r="19" spans="2:12">
      <c r="B19" s="115"/>
      <c r="C19" s="75" t="s">
        <v>47</v>
      </c>
      <c r="D19" s="25">
        <f>L17*0.05</f>
        <v>71.125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284.5</v>
      </c>
    </row>
    <row r="20" spans="2:12">
      <c r="H20" s="8"/>
      <c r="I20" s="108" t="s">
        <v>49</v>
      </c>
      <c r="J20" s="107"/>
      <c r="K20" s="107"/>
      <c r="L20" s="34">
        <f>L17+L18+L19</f>
        <v>1849.25</v>
      </c>
    </row>
    <row r="21" spans="2:12">
      <c r="H21" s="8"/>
      <c r="I21" s="116" t="s">
        <v>50</v>
      </c>
      <c r="J21" s="117"/>
      <c r="K21" s="117"/>
      <c r="L21" s="35">
        <f>L20/L4</f>
        <v>1849.25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2773.875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106.6875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221.91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527.03625</v>
      </c>
    </row>
    <row r="26" spans="2:12">
      <c r="H26" s="8"/>
      <c r="I26" s="101" t="s">
        <v>59</v>
      </c>
      <c r="J26" s="102"/>
      <c r="K26" s="102"/>
      <c r="L26" s="37">
        <f>SUM(L22:L25)</f>
        <v>3629.50875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EAD0-0C4F-43DC-B4D8-287A2FFAD486}">
  <dimension ref="B1:L32"/>
  <sheetViews>
    <sheetView showGridLines="0" workbookViewId="0">
      <selection activeCell="O14" sqref="O14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97</v>
      </c>
      <c r="J3" s="92"/>
      <c r="K3" s="5" t="s">
        <v>7</v>
      </c>
      <c r="L3" s="30">
        <v>45158</v>
      </c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8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98</v>
      </c>
      <c r="H6" s="130"/>
      <c r="I6" s="48">
        <v>1000</v>
      </c>
      <c r="J6" s="46" t="s">
        <v>34</v>
      </c>
      <c r="K6" s="47">
        <v>5400</v>
      </c>
      <c r="L6" s="31">
        <f>(K6/1000)*I6</f>
        <v>5400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99</v>
      </c>
      <c r="H7" s="127"/>
      <c r="I7" s="3">
        <v>100</v>
      </c>
      <c r="J7" s="3" t="s">
        <v>22</v>
      </c>
      <c r="K7" s="31">
        <v>19000</v>
      </c>
      <c r="L7" s="31">
        <f>(K7/1000)*I7</f>
        <v>1900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100</v>
      </c>
      <c r="H8" s="132"/>
      <c r="I8" s="46">
        <v>240</v>
      </c>
      <c r="J8" s="46">
        <v>3</v>
      </c>
      <c r="K8" s="47">
        <v>3500</v>
      </c>
      <c r="L8" s="31">
        <f>J8*K8</f>
        <v>10500</v>
      </c>
    </row>
    <row r="9" spans="2:12">
      <c r="G9" s="132"/>
      <c r="H9" s="132"/>
      <c r="I9" s="46"/>
      <c r="J9" s="46"/>
      <c r="K9" s="47"/>
      <c r="L9" s="31">
        <f>J9*K9</f>
        <v>0</v>
      </c>
    </row>
    <row r="10" spans="2:12">
      <c r="F10" s="11"/>
      <c r="G10" s="139"/>
      <c r="H10" s="140"/>
      <c r="I10" s="60"/>
      <c r="J10" s="49"/>
      <c r="K10" s="50"/>
      <c r="L10" s="50">
        <f t="shared" ref="L9:L16" si="0">(K10/1000)*I10</f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141"/>
      <c r="H11" s="142"/>
      <c r="I11" s="61"/>
      <c r="J11" s="57"/>
      <c r="K11" s="58"/>
      <c r="L11" s="59">
        <f>(K11/1000)*I11</f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133" t="s">
        <v>101</v>
      </c>
      <c r="H12" s="134"/>
      <c r="I12" s="51"/>
      <c r="J12" s="51">
        <v>15</v>
      </c>
      <c r="K12" s="52">
        <v>11400</v>
      </c>
      <c r="L12" s="33">
        <f>K12/J12</f>
        <v>760</v>
      </c>
    </row>
    <row r="13" spans="2:12" ht="15" customHeight="1">
      <c r="G13" s="138" t="s">
        <v>102</v>
      </c>
      <c r="H13" s="89"/>
      <c r="I13" s="3">
        <v>12</v>
      </c>
      <c r="J13" s="3" t="s">
        <v>22</v>
      </c>
      <c r="K13" s="31">
        <v>11000</v>
      </c>
      <c r="L13" s="34">
        <f>(K13/1000)*I13</f>
        <v>132</v>
      </c>
    </row>
    <row r="14" spans="2:12" ht="15" customHeight="1">
      <c r="G14" s="138" t="s">
        <v>103</v>
      </c>
      <c r="H14" s="89"/>
      <c r="I14" s="3">
        <v>40</v>
      </c>
      <c r="J14" s="3" t="s">
        <v>22</v>
      </c>
      <c r="K14" s="31">
        <v>15000</v>
      </c>
      <c r="L14" s="34">
        <f t="shared" ref="L14:L16" si="1">(K14/1000)*I14</f>
        <v>600</v>
      </c>
    </row>
    <row r="15" spans="2:12" ht="15" customHeight="1">
      <c r="G15" s="138" t="s">
        <v>104</v>
      </c>
      <c r="H15" s="89"/>
      <c r="I15" s="3">
        <v>20</v>
      </c>
      <c r="J15" s="3" t="s">
        <v>22</v>
      </c>
      <c r="K15" s="31">
        <v>20000</v>
      </c>
      <c r="L15" s="34">
        <f t="shared" si="1"/>
        <v>400</v>
      </c>
    </row>
    <row r="16" spans="2:12" ht="15" customHeight="1">
      <c r="G16" s="53" t="s">
        <v>105</v>
      </c>
      <c r="H16" s="54"/>
      <c r="I16" s="55">
        <v>12</v>
      </c>
      <c r="J16" s="55">
        <v>1</v>
      </c>
      <c r="K16" s="56">
        <v>5700</v>
      </c>
      <c r="L16" s="36">
        <v>252</v>
      </c>
    </row>
    <row r="17" spans="2:12">
      <c r="B17" s="113" t="s">
        <v>41</v>
      </c>
      <c r="C17" s="75" t="s">
        <v>42</v>
      </c>
      <c r="D17" s="25">
        <f>L18</f>
        <v>1780</v>
      </c>
      <c r="I17" s="135" t="s">
        <v>43</v>
      </c>
      <c r="J17" s="136"/>
      <c r="K17" s="137"/>
      <c r="L17" s="39">
        <f>SUM(L6:L11)</f>
        <v>17800</v>
      </c>
    </row>
    <row r="18" spans="2:12">
      <c r="B18" s="114"/>
      <c r="C18" s="75" t="s">
        <v>44</v>
      </c>
      <c r="D18" s="25">
        <f>L17*0.05</f>
        <v>890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1780</v>
      </c>
    </row>
    <row r="19" spans="2:12">
      <c r="B19" s="115"/>
      <c r="C19" s="75" t="s">
        <v>47</v>
      </c>
      <c r="D19" s="25">
        <f>L17*0.05</f>
        <v>890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3560</v>
      </c>
    </row>
    <row r="20" spans="2:12">
      <c r="H20" s="8"/>
      <c r="I20" s="108" t="s">
        <v>49</v>
      </c>
      <c r="J20" s="107"/>
      <c r="K20" s="107"/>
      <c r="L20" s="34">
        <f>L17+L18+L19</f>
        <v>23140</v>
      </c>
    </row>
    <row r="21" spans="2:12">
      <c r="H21" s="8"/>
      <c r="I21" s="116" t="s">
        <v>50</v>
      </c>
      <c r="J21" s="117"/>
      <c r="K21" s="117"/>
      <c r="L21" s="35">
        <f>(L20/L4)+L12+L13+L14+L15+L16</f>
        <v>5036.5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7554.75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290.56730769230774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604.38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1435.4024999999999</v>
      </c>
    </row>
    <row r="26" spans="2:12">
      <c r="H26" s="8"/>
      <c r="I26" s="101" t="s">
        <v>59</v>
      </c>
      <c r="J26" s="102"/>
      <c r="K26" s="102"/>
      <c r="L26" s="37">
        <f>SUM(L22:L25)</f>
        <v>9885.0998076923079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5">
    <mergeCell ref="C4:D4"/>
    <mergeCell ref="G4:H4"/>
    <mergeCell ref="I4:J4"/>
    <mergeCell ref="C2:D2"/>
    <mergeCell ref="I2:L2"/>
    <mergeCell ref="C3:D3"/>
    <mergeCell ref="G3:H3"/>
    <mergeCell ref="I3:J3"/>
    <mergeCell ref="C8:D8"/>
    <mergeCell ref="G8:H8"/>
    <mergeCell ref="G9:H9"/>
    <mergeCell ref="G10:H10"/>
    <mergeCell ref="G11:H11"/>
    <mergeCell ref="C5:D5"/>
    <mergeCell ref="G5:H5"/>
    <mergeCell ref="C6:D6"/>
    <mergeCell ref="G6:H6"/>
    <mergeCell ref="C7:D7"/>
    <mergeCell ref="G7:H7"/>
    <mergeCell ref="C12:D12"/>
    <mergeCell ref="G12:H12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G14:H14"/>
    <mergeCell ref="G15:H15"/>
    <mergeCell ref="G13:H13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26EB-16F9-4AE9-8013-1084BFDF8AEE}">
  <dimension ref="B1:L32"/>
  <sheetViews>
    <sheetView showGridLines="0" workbookViewId="0">
      <selection activeCell="G7" sqref="G7:K7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106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107</v>
      </c>
      <c r="H6" s="130"/>
      <c r="I6" s="48">
        <v>13</v>
      </c>
      <c r="J6" s="3" t="s">
        <v>22</v>
      </c>
      <c r="K6" s="47">
        <v>120000</v>
      </c>
      <c r="L6" s="31">
        <f>(K6/1000)*I6</f>
        <v>1560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74</v>
      </c>
      <c r="H7" s="127"/>
      <c r="I7" s="3">
        <v>200</v>
      </c>
      <c r="J7" s="3" t="s">
        <v>22</v>
      </c>
      <c r="K7" s="31">
        <v>11000</v>
      </c>
      <c r="L7" s="31">
        <f>(K7/2500)*I7</f>
        <v>880.00000000000011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108</v>
      </c>
      <c r="H8" s="132"/>
      <c r="I8" s="46">
        <v>50</v>
      </c>
      <c r="J8" s="46" t="s">
        <v>22</v>
      </c>
      <c r="K8" s="47">
        <v>20000</v>
      </c>
      <c r="L8" s="31">
        <f t="shared" ref="L8:L17" si="0">(K8/1000)*I8</f>
        <v>1000</v>
      </c>
    </row>
    <row r="9" spans="2:12">
      <c r="G9" s="132" t="s">
        <v>109</v>
      </c>
      <c r="H9" s="132"/>
      <c r="I9" s="46">
        <v>10</v>
      </c>
      <c r="J9" s="46" t="s">
        <v>22</v>
      </c>
      <c r="K9" s="47">
        <v>120000</v>
      </c>
      <c r="L9" s="31">
        <f t="shared" si="0"/>
        <v>1200</v>
      </c>
    </row>
    <row r="10" spans="2:12">
      <c r="F10" s="11"/>
      <c r="G10" s="88"/>
      <c r="H10" s="89"/>
      <c r="I10" s="3"/>
      <c r="J10" s="3"/>
      <c r="K10" s="31"/>
      <c r="L10" s="31">
        <f t="shared" si="0"/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464</v>
      </c>
      <c r="I17" s="103" t="s">
        <v>43</v>
      </c>
      <c r="J17" s="104"/>
      <c r="K17" s="105"/>
      <c r="L17" s="33">
        <f>SUM(L6:L16)</f>
        <v>4640</v>
      </c>
    </row>
    <row r="18" spans="2:12">
      <c r="B18" s="114"/>
      <c r="C18" s="75" t="s">
        <v>44</v>
      </c>
      <c r="D18" s="25">
        <f>L17*0.05</f>
        <v>232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464</v>
      </c>
    </row>
    <row r="19" spans="2:12">
      <c r="B19" s="115"/>
      <c r="C19" s="75" t="s">
        <v>47</v>
      </c>
      <c r="D19" s="25">
        <f>L17*0.05</f>
        <v>232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928</v>
      </c>
    </row>
    <row r="20" spans="2:12">
      <c r="H20" s="8"/>
      <c r="I20" s="108" t="s">
        <v>49</v>
      </c>
      <c r="J20" s="107"/>
      <c r="K20" s="107"/>
      <c r="L20" s="34">
        <f>L17+L18+L19</f>
        <v>6032</v>
      </c>
    </row>
    <row r="21" spans="2:12">
      <c r="H21" s="8"/>
      <c r="I21" s="116" t="s">
        <v>50</v>
      </c>
      <c r="J21" s="117"/>
      <c r="K21" s="117"/>
      <c r="L21" s="35">
        <f>L20/L4</f>
        <v>6032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9048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348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723.84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1719.1200000000001</v>
      </c>
    </row>
    <row r="26" spans="2:12">
      <c r="H26" s="8"/>
      <c r="I26" s="101" t="s">
        <v>59</v>
      </c>
      <c r="J26" s="102"/>
      <c r="K26" s="102"/>
      <c r="L26" s="37">
        <f>SUM(L22:L25)</f>
        <v>11838.960000000001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5E5F-CEC8-4348-AB3D-63A083FC4BBF}">
  <dimension ref="B1:L32"/>
  <sheetViews>
    <sheetView showGridLines="0" workbookViewId="0">
      <selection activeCell="L37" sqref="L37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106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10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110</v>
      </c>
      <c r="H6" s="130"/>
      <c r="I6" s="48">
        <v>500</v>
      </c>
      <c r="J6" s="3" t="s">
        <v>22</v>
      </c>
      <c r="K6" s="47">
        <v>23000</v>
      </c>
      <c r="L6" s="31">
        <f>(K6/1000)*I6</f>
        <v>11500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74</v>
      </c>
      <c r="H7" s="127"/>
      <c r="I7" s="3">
        <v>200</v>
      </c>
      <c r="J7" s="3" t="s">
        <v>22</v>
      </c>
      <c r="K7" s="31">
        <v>11000</v>
      </c>
      <c r="L7" s="31">
        <f>(K7/2500)*I7</f>
        <v>880.00000000000011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/>
      <c r="H8" s="132"/>
      <c r="I8" s="46"/>
      <c r="J8" s="3" t="s">
        <v>22</v>
      </c>
      <c r="K8" s="47"/>
      <c r="L8" s="31">
        <f>(K8/1000)*I8</f>
        <v>0</v>
      </c>
    </row>
    <row r="9" spans="2:12">
      <c r="G9" s="132"/>
      <c r="H9" s="132"/>
      <c r="I9" s="46"/>
      <c r="J9" s="46"/>
      <c r="K9" s="47"/>
      <c r="L9" s="31">
        <f>J9*K9</f>
        <v>0</v>
      </c>
    </row>
    <row r="10" spans="2:12">
      <c r="F10" s="11"/>
      <c r="G10" s="88"/>
      <c r="H10" s="89"/>
      <c r="I10" s="3"/>
      <c r="J10" s="3"/>
      <c r="K10" s="31"/>
      <c r="L10" s="31">
        <f t="shared" ref="L10:L17" si="0">(K10/1000)*I10</f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1238</v>
      </c>
      <c r="I17" s="103" t="s">
        <v>43</v>
      </c>
      <c r="J17" s="104"/>
      <c r="K17" s="105"/>
      <c r="L17" s="33">
        <f>SUM(L6:L16)</f>
        <v>12380</v>
      </c>
    </row>
    <row r="18" spans="2:12">
      <c r="B18" s="114"/>
      <c r="C18" s="75" t="s">
        <v>44</v>
      </c>
      <c r="D18" s="25">
        <f>L17*0.05</f>
        <v>619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1238</v>
      </c>
    </row>
    <row r="19" spans="2:12">
      <c r="B19" s="115"/>
      <c r="C19" s="75" t="s">
        <v>47</v>
      </c>
      <c r="D19" s="25">
        <f>L17*0.05</f>
        <v>619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2476</v>
      </c>
    </row>
    <row r="20" spans="2:12">
      <c r="H20" s="8"/>
      <c r="I20" s="108" t="s">
        <v>49</v>
      </c>
      <c r="J20" s="107"/>
      <c r="K20" s="107"/>
      <c r="L20" s="34">
        <f>L17+L18+L19</f>
        <v>16094</v>
      </c>
    </row>
    <row r="21" spans="2:12">
      <c r="H21" s="8"/>
      <c r="I21" s="116" t="s">
        <v>50</v>
      </c>
      <c r="J21" s="117"/>
      <c r="K21" s="117"/>
      <c r="L21" s="35">
        <f>L20/L4</f>
        <v>1609.4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2414.1000000000004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92.850000000000023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193.12800000000004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458.67900000000009</v>
      </c>
    </row>
    <row r="26" spans="2:12">
      <c r="H26" s="8"/>
      <c r="I26" s="101" t="s">
        <v>59</v>
      </c>
      <c r="J26" s="102"/>
      <c r="K26" s="102"/>
      <c r="L26" s="37">
        <f>SUM(L22:L25)</f>
        <v>3158.7570000000005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6222-1DAC-4664-A1C9-4F3DD957CF6E}">
  <dimension ref="B1:L32"/>
  <sheetViews>
    <sheetView showGridLines="0" workbookViewId="0">
      <selection activeCell="K8" sqref="K8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106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111</v>
      </c>
      <c r="H6" s="130"/>
      <c r="I6" s="48">
        <v>150</v>
      </c>
      <c r="J6" s="46" t="s">
        <v>34</v>
      </c>
      <c r="K6" s="47">
        <v>5700</v>
      </c>
      <c r="L6" s="31">
        <f>(K6/2500)*I6</f>
        <v>341.99999999999994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112</v>
      </c>
      <c r="H7" s="127"/>
      <c r="I7" s="3">
        <v>120</v>
      </c>
      <c r="J7" s="3" t="s">
        <v>22</v>
      </c>
      <c r="K7" s="31">
        <v>5000</v>
      </c>
      <c r="L7" s="31">
        <f>(K7/5000)*I7</f>
        <v>120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113</v>
      </c>
      <c r="H8" s="132"/>
      <c r="I8" s="46">
        <v>75</v>
      </c>
      <c r="J8" s="46" t="s">
        <v>22</v>
      </c>
      <c r="K8" s="47">
        <v>15000</v>
      </c>
      <c r="L8" s="31">
        <f>(K8/1000)*I8</f>
        <v>1125</v>
      </c>
    </row>
    <row r="9" spans="2:12">
      <c r="G9" s="132" t="s">
        <v>114</v>
      </c>
      <c r="H9" s="132"/>
      <c r="I9" s="46">
        <v>30</v>
      </c>
      <c r="J9" s="46" t="s">
        <v>34</v>
      </c>
      <c r="K9" s="47">
        <v>11840</v>
      </c>
      <c r="L9" s="31">
        <f>(K9/1000)*I9</f>
        <v>355.2</v>
      </c>
    </row>
    <row r="10" spans="2:12">
      <c r="F10" s="11"/>
      <c r="G10" s="132" t="s">
        <v>115</v>
      </c>
      <c r="H10" s="132"/>
      <c r="I10" s="3">
        <v>60</v>
      </c>
      <c r="J10" s="46" t="s">
        <v>34</v>
      </c>
      <c r="K10" s="31">
        <v>14500</v>
      </c>
      <c r="L10" s="31">
        <f>(K10/2000)*I10</f>
        <v>435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132" t="s">
        <v>116</v>
      </c>
      <c r="H11" s="132"/>
      <c r="I11" s="46">
        <v>30</v>
      </c>
      <c r="J11" s="46" t="s">
        <v>34</v>
      </c>
      <c r="K11" s="47">
        <v>74300</v>
      </c>
      <c r="L11" s="31">
        <f t="shared" ref="L9:L17" si="0">(K11/1000)*I11</f>
        <v>2229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117</v>
      </c>
      <c r="H12" s="89"/>
      <c r="I12" s="3">
        <v>30</v>
      </c>
      <c r="J12" s="3" t="s">
        <v>34</v>
      </c>
      <c r="K12" s="31">
        <v>41500</v>
      </c>
      <c r="L12" s="31">
        <f t="shared" si="0"/>
        <v>1245</v>
      </c>
    </row>
    <row r="13" spans="2:12" ht="15" customHeight="1">
      <c r="G13" s="88" t="s">
        <v>118</v>
      </c>
      <c r="H13" s="89"/>
      <c r="I13" s="3">
        <v>5</v>
      </c>
      <c r="J13" s="3" t="s">
        <v>22</v>
      </c>
      <c r="K13" s="31">
        <v>15000</v>
      </c>
      <c r="L13" s="31">
        <f t="shared" si="0"/>
        <v>75</v>
      </c>
    </row>
    <row r="14" spans="2:12" ht="15" customHeight="1">
      <c r="G14" s="88" t="s">
        <v>119</v>
      </c>
      <c r="H14" s="89"/>
      <c r="I14" s="3">
        <v>10</v>
      </c>
      <c r="J14" s="3" t="s">
        <v>22</v>
      </c>
      <c r="K14" s="31">
        <v>15000</v>
      </c>
      <c r="L14" s="31">
        <f t="shared" si="0"/>
        <v>150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607.62</v>
      </c>
      <c r="I17" s="103" t="s">
        <v>43</v>
      </c>
      <c r="J17" s="104"/>
      <c r="K17" s="105"/>
      <c r="L17" s="33">
        <f>SUM(L6:L16)</f>
        <v>6076.2</v>
      </c>
    </row>
    <row r="18" spans="2:12">
      <c r="B18" s="114"/>
      <c r="C18" s="75" t="s">
        <v>44</v>
      </c>
      <c r="D18" s="25">
        <f>L17*0.05</f>
        <v>303.81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607.62</v>
      </c>
    </row>
    <row r="19" spans="2:12">
      <c r="B19" s="115"/>
      <c r="C19" s="75" t="s">
        <v>47</v>
      </c>
      <c r="D19" s="25">
        <f>L17*0.05</f>
        <v>303.81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1215.24</v>
      </c>
    </row>
    <row r="20" spans="2:12">
      <c r="H20" s="8"/>
      <c r="I20" s="108" t="s">
        <v>49</v>
      </c>
      <c r="J20" s="107"/>
      <c r="K20" s="107"/>
      <c r="L20" s="34">
        <f>L17+L18+L19</f>
        <v>7899.0599999999995</v>
      </c>
    </row>
    <row r="21" spans="2:12">
      <c r="H21" s="8"/>
      <c r="I21" s="116" t="s">
        <v>50</v>
      </c>
      <c r="J21" s="117"/>
      <c r="K21" s="117"/>
      <c r="L21" s="35">
        <f>L20/L4</f>
        <v>7899.0599999999995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11848.59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455.71500000000003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947.88720000000001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2251.2321000000002</v>
      </c>
    </row>
    <row r="26" spans="2:12">
      <c r="H26" s="8"/>
      <c r="I26" s="101" t="s">
        <v>59</v>
      </c>
      <c r="J26" s="102"/>
      <c r="K26" s="102"/>
      <c r="L26" s="37">
        <f>SUM(L22:L25)</f>
        <v>15503.424299999999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6BE-1FC4-494E-9944-49DFC1575054}">
  <dimension ref="B1:L32"/>
  <sheetViews>
    <sheetView showGridLines="0" workbookViewId="0">
      <selection activeCell="G9" sqref="G9:K9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120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121</v>
      </c>
      <c r="H6" s="130"/>
      <c r="I6" s="48">
        <v>50</v>
      </c>
      <c r="J6" s="46" t="s">
        <v>22</v>
      </c>
      <c r="K6" s="47">
        <v>9000</v>
      </c>
      <c r="L6" s="31">
        <f>(K6/2500)*I6</f>
        <v>180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122</v>
      </c>
      <c r="H7" s="127"/>
      <c r="I7" s="3">
        <v>60</v>
      </c>
      <c r="J7" s="3" t="s">
        <v>22</v>
      </c>
      <c r="K7" s="31">
        <v>11000</v>
      </c>
      <c r="L7" s="31">
        <f>(K7/1000)*I7</f>
        <v>660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114</v>
      </c>
      <c r="H8" s="132"/>
      <c r="I8" s="46">
        <v>30</v>
      </c>
      <c r="J8" s="46" t="s">
        <v>22</v>
      </c>
      <c r="K8" s="47">
        <v>11900</v>
      </c>
      <c r="L8" s="31">
        <f>(K8/1000)*I8</f>
        <v>357</v>
      </c>
    </row>
    <row r="9" spans="2:12">
      <c r="G9" s="132" t="s">
        <v>123</v>
      </c>
      <c r="H9" s="132"/>
      <c r="I9" s="46">
        <v>50</v>
      </c>
      <c r="J9" s="46" t="s">
        <v>22</v>
      </c>
      <c r="K9" s="47">
        <v>19000</v>
      </c>
      <c r="L9" s="31">
        <f>(K9/1000)*I9</f>
        <v>950</v>
      </c>
    </row>
    <row r="10" spans="2:12">
      <c r="F10" s="11"/>
      <c r="G10" s="132" t="s">
        <v>124</v>
      </c>
      <c r="H10" s="132"/>
      <c r="I10" s="3">
        <v>60</v>
      </c>
      <c r="J10" s="46" t="s">
        <v>34</v>
      </c>
      <c r="K10" s="31">
        <v>53000</v>
      </c>
      <c r="L10" s="31">
        <f>(K10/2000)*I10</f>
        <v>1590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125</v>
      </c>
      <c r="H11" s="89"/>
      <c r="I11" s="3">
        <v>5</v>
      </c>
      <c r="J11" s="3" t="s">
        <v>22</v>
      </c>
      <c r="K11" s="31">
        <v>23000</v>
      </c>
      <c r="L11" s="31">
        <f>(K11/165)*I11</f>
        <v>696.969696969697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11:L19" si="0">(K12/1000)*I12</f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443.39696969696973</v>
      </c>
      <c r="I17" s="103" t="s">
        <v>43</v>
      </c>
      <c r="J17" s="104"/>
      <c r="K17" s="105"/>
      <c r="L17" s="33">
        <f>SUM(L6:L16)</f>
        <v>4433.969696969697</v>
      </c>
    </row>
    <row r="18" spans="2:12">
      <c r="B18" s="114"/>
      <c r="C18" s="75" t="s">
        <v>44</v>
      </c>
      <c r="D18" s="25">
        <f>L17*0.05</f>
        <v>221.69848484848487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443.39696969696973</v>
      </c>
    </row>
    <row r="19" spans="2:12">
      <c r="B19" s="115"/>
      <c r="C19" s="75" t="s">
        <v>47</v>
      </c>
      <c r="D19" s="25">
        <f>L17*0.05</f>
        <v>221.69848484848487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886.79393939393947</v>
      </c>
    </row>
    <row r="20" spans="2:12">
      <c r="H20" s="8"/>
      <c r="I20" s="108" t="s">
        <v>49</v>
      </c>
      <c r="J20" s="107"/>
      <c r="K20" s="107"/>
      <c r="L20" s="34">
        <f>L17+L18+L19</f>
        <v>5764.1606060606064</v>
      </c>
    </row>
    <row r="21" spans="2:12">
      <c r="H21" s="8"/>
      <c r="I21" s="116" t="s">
        <v>50</v>
      </c>
      <c r="J21" s="117"/>
      <c r="K21" s="117"/>
      <c r="L21" s="35">
        <f>L20/L4</f>
        <v>5764.1606060606064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8646.2409090909096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332.54772727272729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691.69927272727273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1642.7857727272728</v>
      </c>
    </row>
    <row r="26" spans="2:12">
      <c r="H26" s="8"/>
      <c r="I26" s="101" t="s">
        <v>59</v>
      </c>
      <c r="J26" s="102"/>
      <c r="K26" s="102"/>
      <c r="L26" s="37">
        <f>SUM(L22:L25)</f>
        <v>11313.273681818182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6846-9115-423C-BE8F-E0E2E2401FF8}">
  <dimension ref="B1:L32"/>
  <sheetViews>
    <sheetView showGridLines="0" workbookViewId="0">
      <selection activeCell="G32" sqref="G31:G32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126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122</v>
      </c>
      <c r="H6" s="130"/>
      <c r="I6" s="48">
        <v>20</v>
      </c>
      <c r="J6" s="46" t="s">
        <v>22</v>
      </c>
      <c r="K6" s="47">
        <v>30000</v>
      </c>
      <c r="L6" s="31">
        <f>(K6/1200)*I6</f>
        <v>500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112</v>
      </c>
      <c r="H7" s="127"/>
      <c r="I7" s="3">
        <v>200</v>
      </c>
      <c r="J7" s="3" t="s">
        <v>22</v>
      </c>
      <c r="K7" s="31">
        <v>4000</v>
      </c>
      <c r="L7" s="31">
        <f>(K7/5000)*I7</f>
        <v>160</v>
      </c>
    </row>
    <row r="8" spans="2:12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43" t="s">
        <v>115</v>
      </c>
      <c r="H8" s="144"/>
      <c r="I8" s="3">
        <v>45</v>
      </c>
      <c r="J8" s="46" t="s">
        <v>34</v>
      </c>
      <c r="K8" s="31">
        <v>14500</v>
      </c>
      <c r="L8" s="31">
        <f>(K8/2000)*I8</f>
        <v>326.25</v>
      </c>
    </row>
    <row r="9" spans="2:12">
      <c r="G9" s="126" t="s">
        <v>74</v>
      </c>
      <c r="H9" s="127"/>
      <c r="I9" s="3">
        <v>10</v>
      </c>
      <c r="J9" s="3" t="s">
        <v>22</v>
      </c>
      <c r="K9" s="31">
        <v>11000</v>
      </c>
      <c r="L9" s="31">
        <f>(K9/1000)*I9</f>
        <v>110</v>
      </c>
    </row>
    <row r="10" spans="2:12">
      <c r="F10" s="11"/>
      <c r="G10" s="88" t="s">
        <v>118</v>
      </c>
      <c r="H10" s="89"/>
      <c r="I10" s="3">
        <v>5</v>
      </c>
      <c r="J10" s="3" t="s">
        <v>22</v>
      </c>
      <c r="K10" s="31">
        <v>15000</v>
      </c>
      <c r="L10" s="31">
        <f>(K10/1000)*I10</f>
        <v>75</v>
      </c>
    </row>
    <row r="11" spans="2:12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119</v>
      </c>
      <c r="H11" s="89"/>
      <c r="I11" s="3">
        <v>10</v>
      </c>
      <c r="J11" s="3" t="s">
        <v>22</v>
      </c>
      <c r="K11" s="31">
        <v>15000</v>
      </c>
      <c r="L11" s="31">
        <f t="shared" ref="L11:L19" si="0">(K11/1000)*I11</f>
        <v>150</v>
      </c>
    </row>
    <row r="12" spans="2:12" ht="15" customHeight="1">
      <c r="B12" s="16" t="s">
        <v>35</v>
      </c>
      <c r="C12" s="122" t="s">
        <v>36</v>
      </c>
      <c r="D12" s="123"/>
      <c r="E12" s="24"/>
      <c r="G12" s="132" t="s">
        <v>123</v>
      </c>
      <c r="H12" s="132"/>
      <c r="I12" s="46">
        <v>50</v>
      </c>
      <c r="J12" s="46" t="s">
        <v>22</v>
      </c>
      <c r="K12" s="47">
        <v>19000</v>
      </c>
      <c r="L12" s="31">
        <f t="shared" si="0"/>
        <v>950</v>
      </c>
    </row>
    <row r="13" spans="2:12" ht="15" customHeight="1">
      <c r="G13" s="130" t="s">
        <v>127</v>
      </c>
      <c r="H13" s="130"/>
      <c r="I13" s="48">
        <v>150</v>
      </c>
      <c r="J13" s="46" t="s">
        <v>22</v>
      </c>
      <c r="K13" s="47">
        <v>3800</v>
      </c>
      <c r="L13" s="31">
        <f t="shared" si="0"/>
        <v>570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284.125</v>
      </c>
      <c r="I17" s="103" t="s">
        <v>43</v>
      </c>
      <c r="J17" s="104"/>
      <c r="K17" s="105"/>
      <c r="L17" s="33">
        <f>SUM(L6:L16)</f>
        <v>2841.25</v>
      </c>
    </row>
    <row r="18" spans="2:12">
      <c r="B18" s="114"/>
      <c r="C18" s="75" t="s">
        <v>44</v>
      </c>
      <c r="D18" s="25">
        <f>L17*0.05</f>
        <v>142.0625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284.125</v>
      </c>
    </row>
    <row r="19" spans="2:12">
      <c r="B19" s="115"/>
      <c r="C19" s="75" t="s">
        <v>47</v>
      </c>
      <c r="D19" s="25">
        <f>L17*0.05</f>
        <v>142.0625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568.25</v>
      </c>
    </row>
    <row r="20" spans="2:12">
      <c r="H20" s="8"/>
      <c r="I20" s="108" t="s">
        <v>49</v>
      </c>
      <c r="J20" s="107"/>
      <c r="K20" s="107"/>
      <c r="L20" s="34">
        <f>L17+L18+L19</f>
        <v>3693.625</v>
      </c>
    </row>
    <row r="21" spans="2:12">
      <c r="H21" s="8"/>
      <c r="I21" s="116" t="s">
        <v>50</v>
      </c>
      <c r="J21" s="117"/>
      <c r="K21" s="117"/>
      <c r="L21" s="35">
        <f>L20/L4</f>
        <v>3693.625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5540.4375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213.09375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443.23500000000001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1052.683125</v>
      </c>
    </row>
    <row r="26" spans="2:12">
      <c r="H26" s="8"/>
      <c r="I26" s="101" t="s">
        <v>59</v>
      </c>
      <c r="J26" s="102"/>
      <c r="K26" s="102"/>
      <c r="L26" s="37">
        <f>SUM(L22:L25)</f>
        <v>7249.4493750000001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9BDF-0B13-462F-AF06-E131B7BD3D7A}">
  <dimension ref="B1:L32"/>
  <sheetViews>
    <sheetView showGridLines="0" workbookViewId="0">
      <selection activeCell="K33" sqref="K33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128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129</v>
      </c>
      <c r="H6" s="130"/>
      <c r="I6" s="48">
        <v>60</v>
      </c>
      <c r="J6" s="46" t="s">
        <v>22</v>
      </c>
      <c r="K6" s="47">
        <v>115000</v>
      </c>
      <c r="L6" s="31">
        <f>(K6/2400)*I6</f>
        <v>2875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112</v>
      </c>
      <c r="H7" s="127"/>
      <c r="I7" s="3">
        <v>200</v>
      </c>
      <c r="J7" s="3" t="s">
        <v>22</v>
      </c>
      <c r="K7" s="31">
        <v>4000</v>
      </c>
      <c r="L7" s="31">
        <f>(K7/5000)*I7</f>
        <v>160</v>
      </c>
    </row>
    <row r="8" spans="2:12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43" t="s">
        <v>115</v>
      </c>
      <c r="H8" s="144"/>
      <c r="I8" s="3">
        <v>60</v>
      </c>
      <c r="J8" s="46" t="s">
        <v>34</v>
      </c>
      <c r="K8" s="31">
        <v>14500</v>
      </c>
      <c r="L8" s="31">
        <f>(K8/2000)*I8</f>
        <v>435</v>
      </c>
    </row>
    <row r="9" spans="2:12">
      <c r="G9" s="126" t="s">
        <v>74</v>
      </c>
      <c r="H9" s="127"/>
      <c r="I9" s="3">
        <v>10</v>
      </c>
      <c r="J9" s="3" t="s">
        <v>22</v>
      </c>
      <c r="K9" s="31">
        <v>11000</v>
      </c>
      <c r="L9" s="31">
        <f>(K9/1000)*I9</f>
        <v>110</v>
      </c>
    </row>
    <row r="10" spans="2:12">
      <c r="F10" s="11"/>
      <c r="G10" s="88" t="s">
        <v>118</v>
      </c>
      <c r="H10" s="89"/>
      <c r="I10" s="3">
        <v>5</v>
      </c>
      <c r="J10" s="3" t="s">
        <v>22</v>
      </c>
      <c r="K10" s="31">
        <v>15000</v>
      </c>
      <c r="L10" s="31">
        <f>(K10/1000)*I10</f>
        <v>75</v>
      </c>
    </row>
    <row r="11" spans="2:12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119</v>
      </c>
      <c r="H11" s="89"/>
      <c r="I11" s="3">
        <v>10</v>
      </c>
      <c r="J11" s="3" t="s">
        <v>22</v>
      </c>
      <c r="K11" s="31">
        <v>15000</v>
      </c>
      <c r="L11" s="31">
        <f t="shared" ref="L11:L19" si="0">(K11/1000)*I11</f>
        <v>150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380.5</v>
      </c>
      <c r="I17" s="103" t="s">
        <v>43</v>
      </c>
      <c r="J17" s="104"/>
      <c r="K17" s="105"/>
      <c r="L17" s="33">
        <f>SUM(L6:L16)</f>
        <v>3805</v>
      </c>
    </row>
    <row r="18" spans="2:12">
      <c r="B18" s="114"/>
      <c r="C18" s="75" t="s">
        <v>44</v>
      </c>
      <c r="D18" s="25">
        <f>L17*0.05</f>
        <v>190.25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380.5</v>
      </c>
    </row>
    <row r="19" spans="2:12">
      <c r="B19" s="115"/>
      <c r="C19" s="75" t="s">
        <v>47</v>
      </c>
      <c r="D19" s="25">
        <f>L17*0.05</f>
        <v>190.25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761</v>
      </c>
    </row>
    <row r="20" spans="2:12">
      <c r="H20" s="8"/>
      <c r="I20" s="108" t="s">
        <v>49</v>
      </c>
      <c r="J20" s="107"/>
      <c r="K20" s="107"/>
      <c r="L20" s="34">
        <f>L17+L18+L19</f>
        <v>4946.5</v>
      </c>
    </row>
    <row r="21" spans="2:12">
      <c r="H21" s="8"/>
      <c r="I21" s="116" t="s">
        <v>50</v>
      </c>
      <c r="J21" s="117"/>
      <c r="K21" s="117"/>
      <c r="L21" s="35">
        <f>L20/L4</f>
        <v>4946.5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7419.75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285.375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593.58000000000004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1409.7525000000001</v>
      </c>
    </row>
    <row r="26" spans="2:12">
      <c r="H26" s="8"/>
      <c r="I26" s="101" t="s">
        <v>59</v>
      </c>
      <c r="J26" s="102"/>
      <c r="K26" s="102"/>
      <c r="L26" s="37">
        <f>SUM(L22:L25)</f>
        <v>9708.4575000000004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68FD-0A15-4DDD-AA35-4C95180ED29D}">
  <dimension ref="B1:L32"/>
  <sheetViews>
    <sheetView showGridLines="0" workbookViewId="0">
      <selection activeCell="O4" sqref="O4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106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111</v>
      </c>
      <c r="H6" s="130"/>
      <c r="I6" s="48">
        <v>150</v>
      </c>
      <c r="J6" s="46" t="s">
        <v>34</v>
      </c>
      <c r="K6" s="47">
        <v>5700</v>
      </c>
      <c r="L6" s="31">
        <f>(K6/2500)*I6</f>
        <v>341.99999999999994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112</v>
      </c>
      <c r="H7" s="127"/>
      <c r="I7" s="3">
        <v>120</v>
      </c>
      <c r="J7" s="3" t="s">
        <v>22</v>
      </c>
      <c r="K7" s="31">
        <v>4000</v>
      </c>
      <c r="L7" s="31">
        <f>(K7/5000)*I7</f>
        <v>96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113</v>
      </c>
      <c r="H8" s="132"/>
      <c r="I8" s="46">
        <v>75</v>
      </c>
      <c r="J8" s="46" t="s">
        <v>22</v>
      </c>
      <c r="K8" s="47">
        <v>15000</v>
      </c>
      <c r="L8" s="31">
        <f>(K8/1000)*I8</f>
        <v>1125</v>
      </c>
    </row>
    <row r="9" spans="2:12">
      <c r="G9" s="132" t="s">
        <v>114</v>
      </c>
      <c r="H9" s="132"/>
      <c r="I9" s="46">
        <v>30</v>
      </c>
      <c r="J9" s="46" t="s">
        <v>34</v>
      </c>
      <c r="K9" s="47">
        <v>11840</v>
      </c>
      <c r="L9" s="31">
        <f>(K9/1000)*I9</f>
        <v>355.2</v>
      </c>
    </row>
    <row r="10" spans="2:12">
      <c r="F10" s="11"/>
      <c r="G10" s="132" t="s">
        <v>115</v>
      </c>
      <c r="H10" s="132"/>
      <c r="I10" s="3">
        <v>60</v>
      </c>
      <c r="J10" s="46" t="s">
        <v>34</v>
      </c>
      <c r="K10" s="31">
        <v>14500</v>
      </c>
      <c r="L10" s="31">
        <f>(K10/2000)*I10</f>
        <v>435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118</v>
      </c>
      <c r="H11" s="89"/>
      <c r="I11" s="3">
        <v>5</v>
      </c>
      <c r="J11" s="3" t="s">
        <v>22</v>
      </c>
      <c r="K11" s="31">
        <v>15000</v>
      </c>
      <c r="L11" s="31">
        <f t="shared" ref="L11:L19" si="0">(K11/1000)*I11</f>
        <v>75</v>
      </c>
    </row>
    <row r="12" spans="2:12" ht="15" customHeight="1">
      <c r="B12" s="16" t="s">
        <v>35</v>
      </c>
      <c r="C12" s="122" t="s">
        <v>36</v>
      </c>
      <c r="D12" s="123"/>
      <c r="E12" s="24"/>
      <c r="G12" s="88" t="s">
        <v>119</v>
      </c>
      <c r="H12" s="89"/>
      <c r="I12" s="3">
        <v>10</v>
      </c>
      <c r="J12" s="3" t="s">
        <v>22</v>
      </c>
      <c r="K12" s="31">
        <v>15000</v>
      </c>
      <c r="L12" s="31">
        <f t="shared" si="0"/>
        <v>150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257.82</v>
      </c>
      <c r="I17" s="103" t="s">
        <v>43</v>
      </c>
      <c r="J17" s="104"/>
      <c r="K17" s="105"/>
      <c r="L17" s="33">
        <f>SUM(L6:L16)</f>
        <v>2578.1999999999998</v>
      </c>
    </row>
    <row r="18" spans="2:12">
      <c r="B18" s="114"/>
      <c r="C18" s="75" t="s">
        <v>44</v>
      </c>
      <c r="D18" s="25">
        <f>L17*0.05</f>
        <v>128.91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257.82</v>
      </c>
    </row>
    <row r="19" spans="2:12">
      <c r="B19" s="115"/>
      <c r="C19" s="75" t="s">
        <v>47</v>
      </c>
      <c r="D19" s="25">
        <f>L17*0.05</f>
        <v>128.91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515.64</v>
      </c>
    </row>
    <row r="20" spans="2:12">
      <c r="H20" s="8"/>
      <c r="I20" s="108" t="s">
        <v>49</v>
      </c>
      <c r="J20" s="107"/>
      <c r="K20" s="107"/>
      <c r="L20" s="34">
        <f>L17+L18+L19</f>
        <v>3351.66</v>
      </c>
    </row>
    <row r="21" spans="2:12">
      <c r="H21" s="8"/>
      <c r="I21" s="116" t="s">
        <v>50</v>
      </c>
      <c r="J21" s="117"/>
      <c r="K21" s="117"/>
      <c r="L21" s="35">
        <f>L20/L4</f>
        <v>3351.66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5027.49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193.36500000000001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402.19920000000002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955.22309999999993</v>
      </c>
    </row>
    <row r="26" spans="2:12">
      <c r="H26" s="8"/>
      <c r="I26" s="101" t="s">
        <v>59</v>
      </c>
      <c r="J26" s="102"/>
      <c r="K26" s="102"/>
      <c r="L26" s="37">
        <f>SUM(L22:L25)</f>
        <v>6578.2772999999997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0550-AE0A-4D76-A475-C8DF7BCE8D84}">
  <dimension ref="A1:L32"/>
  <sheetViews>
    <sheetView showGridLines="0" workbookViewId="0">
      <selection activeCell="K12" sqref="K12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131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132</v>
      </c>
      <c r="H6" s="130"/>
      <c r="I6" s="48">
        <v>50</v>
      </c>
      <c r="J6" s="46" t="s">
        <v>22</v>
      </c>
      <c r="K6" s="47">
        <v>20000</v>
      </c>
      <c r="L6" s="31">
        <f>(K6/1000)*I6</f>
        <v>1000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96</v>
      </c>
      <c r="H7" s="132"/>
      <c r="I7" s="46">
        <v>50</v>
      </c>
      <c r="J7" s="46" t="s">
        <v>22</v>
      </c>
      <c r="K7" s="47">
        <v>3400</v>
      </c>
      <c r="L7" s="31">
        <f t="shared" ref="L7:L8" si="0">(K7/1000)*I7</f>
        <v>170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/>
      <c r="H8" s="132"/>
      <c r="I8" s="46"/>
      <c r="J8" s="46"/>
      <c r="K8" s="47"/>
      <c r="L8" s="31">
        <f t="shared" si="0"/>
        <v>0</v>
      </c>
    </row>
    <row r="9" spans="1:12">
      <c r="G9" s="88"/>
      <c r="H9" s="89"/>
      <c r="I9" s="3"/>
      <c r="J9" s="3"/>
      <c r="K9" s="31"/>
      <c r="L9" s="31">
        <f t="shared" ref="L9:L16" si="1">(K9/1000)*I9</f>
        <v>0</v>
      </c>
    </row>
    <row r="10" spans="1:12">
      <c r="F10" s="11"/>
      <c r="G10" s="88"/>
      <c r="H10" s="89"/>
      <c r="I10" s="3"/>
      <c r="J10" s="3"/>
      <c r="K10" s="31"/>
      <c r="L10" s="31">
        <f t="shared" si="1"/>
        <v>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1"/>
        <v>0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1"/>
        <v>0</v>
      </c>
    </row>
    <row r="13" spans="1:12" ht="15" customHeight="1">
      <c r="G13" s="88"/>
      <c r="H13" s="89"/>
      <c r="I13" s="3"/>
      <c r="J13" s="3"/>
      <c r="K13" s="31"/>
      <c r="L13" s="31">
        <f t="shared" si="1"/>
        <v>0</v>
      </c>
    </row>
    <row r="14" spans="1:12" ht="15" customHeight="1">
      <c r="G14" s="88"/>
      <c r="H14" s="89"/>
      <c r="I14" s="3"/>
      <c r="J14" s="3"/>
      <c r="K14" s="31"/>
      <c r="L14" s="31">
        <f t="shared" si="1"/>
        <v>0</v>
      </c>
    </row>
    <row r="15" spans="1:12" ht="15" customHeight="1">
      <c r="G15" s="88"/>
      <c r="H15" s="89"/>
      <c r="I15" s="3"/>
      <c r="J15" s="3"/>
      <c r="K15" s="31"/>
      <c r="L15" s="31">
        <f t="shared" si="1"/>
        <v>0</v>
      </c>
    </row>
    <row r="16" spans="1:12" ht="15" customHeight="1">
      <c r="G16" s="88"/>
      <c r="H16" s="89"/>
      <c r="I16" s="26"/>
      <c r="J16" s="26"/>
      <c r="K16" s="32"/>
      <c r="L16" s="31">
        <f t="shared" si="1"/>
        <v>0</v>
      </c>
    </row>
    <row r="17" spans="2:12">
      <c r="B17" s="113" t="s">
        <v>41</v>
      </c>
      <c r="C17" s="75" t="s">
        <v>42</v>
      </c>
      <c r="D17" s="25">
        <f>L18</f>
        <v>117</v>
      </c>
      <c r="I17" s="103" t="s">
        <v>43</v>
      </c>
      <c r="J17" s="104"/>
      <c r="K17" s="105"/>
      <c r="L17" s="33">
        <f>SUM(L6:L16)</f>
        <v>1170</v>
      </c>
    </row>
    <row r="18" spans="2:12">
      <c r="B18" s="114"/>
      <c r="C18" s="75" t="s">
        <v>44</v>
      </c>
      <c r="D18" s="25">
        <f>L17*0.05</f>
        <v>58.5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117</v>
      </c>
    </row>
    <row r="19" spans="2:12">
      <c r="B19" s="115"/>
      <c r="C19" s="75" t="s">
        <v>47</v>
      </c>
      <c r="D19" s="25">
        <f>L17*0.05</f>
        <v>58.5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234</v>
      </c>
    </row>
    <row r="20" spans="2:12">
      <c r="H20" s="8"/>
      <c r="I20" s="108" t="s">
        <v>49</v>
      </c>
      <c r="J20" s="107"/>
      <c r="K20" s="107"/>
      <c r="L20" s="34">
        <f>L17+L18+L19</f>
        <v>1521</v>
      </c>
    </row>
    <row r="21" spans="2:12">
      <c r="H21" s="8"/>
      <c r="I21" s="116" t="s">
        <v>50</v>
      </c>
      <c r="J21" s="117"/>
      <c r="K21" s="117"/>
      <c r="L21" s="35">
        <f>L20/L4</f>
        <v>1521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2281.5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87.75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182.52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433.48500000000001</v>
      </c>
    </row>
    <row r="26" spans="2:12">
      <c r="H26" s="8"/>
      <c r="I26" s="101" t="s">
        <v>59</v>
      </c>
      <c r="J26" s="102"/>
      <c r="K26" s="102"/>
      <c r="L26" s="37">
        <f>SUM(L22:L25)</f>
        <v>2985.2550000000001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5590-CE6A-4F2A-BCBC-BF7DF4AA6194}">
  <dimension ref="A1:L32"/>
  <sheetViews>
    <sheetView showGridLines="0" workbookViewId="0">
      <selection activeCell="K7" sqref="K7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131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133</v>
      </c>
      <c r="H6" s="130"/>
      <c r="I6" s="48">
        <v>50</v>
      </c>
      <c r="J6" s="46">
        <v>10</v>
      </c>
      <c r="K6" s="47">
        <v>15950</v>
      </c>
      <c r="L6" s="31">
        <f>K6/J6</f>
        <v>1595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96</v>
      </c>
      <c r="H7" s="132"/>
      <c r="I7" s="46">
        <v>50</v>
      </c>
      <c r="J7" s="46" t="s">
        <v>22</v>
      </c>
      <c r="K7" s="47">
        <v>3400</v>
      </c>
      <c r="L7" s="31">
        <f t="shared" ref="L7:L16" si="0">(K7/1000)*I7</f>
        <v>170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/>
      <c r="H8" s="132"/>
      <c r="I8" s="46"/>
      <c r="J8" s="46"/>
      <c r="K8" s="47"/>
      <c r="L8" s="31">
        <f t="shared" si="0"/>
        <v>0</v>
      </c>
    </row>
    <row r="9" spans="1:12">
      <c r="G9" s="88"/>
      <c r="H9" s="89"/>
      <c r="I9" s="3"/>
      <c r="J9" s="3"/>
      <c r="K9" s="31"/>
      <c r="L9" s="31">
        <f t="shared" si="0"/>
        <v>0</v>
      </c>
    </row>
    <row r="10" spans="1:12">
      <c r="F10" s="11"/>
      <c r="G10" s="88"/>
      <c r="H10" s="89"/>
      <c r="I10" s="3"/>
      <c r="J10" s="3"/>
      <c r="K10" s="31"/>
      <c r="L10" s="31">
        <f t="shared" si="0"/>
        <v>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176.5</v>
      </c>
      <c r="I17" s="103" t="s">
        <v>43</v>
      </c>
      <c r="J17" s="104"/>
      <c r="K17" s="105"/>
      <c r="L17" s="33">
        <f>SUM(L6:L16)</f>
        <v>1765</v>
      </c>
    </row>
    <row r="18" spans="2:12">
      <c r="B18" s="114"/>
      <c r="C18" s="75" t="s">
        <v>44</v>
      </c>
      <c r="D18" s="25">
        <f>L17*0.05</f>
        <v>88.25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176.5</v>
      </c>
    </row>
    <row r="19" spans="2:12">
      <c r="B19" s="115"/>
      <c r="C19" s="75" t="s">
        <v>47</v>
      </c>
      <c r="D19" s="25">
        <f>L17*0.05</f>
        <v>88.25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353</v>
      </c>
    </row>
    <row r="20" spans="2:12">
      <c r="H20" s="8"/>
      <c r="I20" s="108" t="s">
        <v>49</v>
      </c>
      <c r="J20" s="107"/>
      <c r="K20" s="107"/>
      <c r="L20" s="34">
        <f>L17+L18+L19</f>
        <v>2294.5</v>
      </c>
    </row>
    <row r="21" spans="2:12">
      <c r="H21" s="8"/>
      <c r="I21" s="116" t="s">
        <v>50</v>
      </c>
      <c r="J21" s="117"/>
      <c r="K21" s="117"/>
      <c r="L21" s="35">
        <f>L20/L4</f>
        <v>2294.5</v>
      </c>
    </row>
    <row r="22" spans="2:12">
      <c r="G22" s="27" t="s">
        <v>51</v>
      </c>
      <c r="H22" s="40">
        <v>130</v>
      </c>
      <c r="I22" s="109" t="s">
        <v>52</v>
      </c>
      <c r="J22" s="110"/>
      <c r="K22" s="110"/>
      <c r="L22" s="33">
        <f>L21*(H22/100)</f>
        <v>2982.85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114.72500000000001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238.62799999999999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566.74149999999997</v>
      </c>
    </row>
    <row r="26" spans="2:12">
      <c r="H26" s="8"/>
      <c r="I26" s="101" t="s">
        <v>59</v>
      </c>
      <c r="J26" s="102"/>
      <c r="K26" s="102"/>
      <c r="L26" s="37">
        <f>SUM(L22:L25)</f>
        <v>3902.9445000000001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5291-5943-4115-9A7D-CB1B669434C5}">
  <dimension ref="B1:L32"/>
  <sheetViews>
    <sheetView showGridLines="0" workbookViewId="0">
      <selection activeCell="O7" sqref="O7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134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135</v>
      </c>
      <c r="H6" s="130"/>
      <c r="I6" s="48">
        <v>150</v>
      </c>
      <c r="J6" s="3" t="s">
        <v>22</v>
      </c>
      <c r="K6" s="47">
        <v>30000</v>
      </c>
      <c r="L6" s="31">
        <f>(K6/1000)*I6</f>
        <v>4500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136</v>
      </c>
      <c r="H7" s="127"/>
      <c r="I7" s="3">
        <v>10</v>
      </c>
      <c r="J7" s="3" t="s">
        <v>22</v>
      </c>
      <c r="K7" s="31">
        <v>32000</v>
      </c>
      <c r="L7" s="31">
        <f>(K7/1000)*I7</f>
        <v>320</v>
      </c>
    </row>
    <row r="8" spans="2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137</v>
      </c>
      <c r="H8" s="132"/>
      <c r="I8" s="46">
        <v>150</v>
      </c>
      <c r="J8" s="46" t="s">
        <v>22</v>
      </c>
      <c r="K8" s="47">
        <v>9000</v>
      </c>
      <c r="L8" s="31">
        <f t="shared" ref="L8:L17" si="0">(K8/1000)*I8</f>
        <v>1350</v>
      </c>
    </row>
    <row r="9" spans="2:12">
      <c r="G9" s="132" t="s">
        <v>138</v>
      </c>
      <c r="H9" s="132"/>
      <c r="I9" s="46">
        <v>50</v>
      </c>
      <c r="J9" s="46" t="s">
        <v>22</v>
      </c>
      <c r="K9" s="47">
        <v>24000</v>
      </c>
      <c r="L9" s="31">
        <f t="shared" si="0"/>
        <v>1200</v>
      </c>
    </row>
    <row r="10" spans="2:12">
      <c r="F10" s="11"/>
      <c r="G10" s="88"/>
      <c r="H10" s="89"/>
      <c r="I10" s="3"/>
      <c r="J10" s="3"/>
      <c r="K10" s="31"/>
      <c r="L10" s="31">
        <f t="shared" si="0"/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737</v>
      </c>
      <c r="I17" s="103" t="s">
        <v>43</v>
      </c>
      <c r="J17" s="104"/>
      <c r="K17" s="105"/>
      <c r="L17" s="33">
        <f>SUM(L6:L16)</f>
        <v>7370</v>
      </c>
    </row>
    <row r="18" spans="2:12">
      <c r="B18" s="114"/>
      <c r="C18" s="75" t="s">
        <v>44</v>
      </c>
      <c r="D18" s="25">
        <f>L17*0.05</f>
        <v>368.5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737</v>
      </c>
    </row>
    <row r="19" spans="2:12">
      <c r="B19" s="115"/>
      <c r="C19" s="75" t="s">
        <v>47</v>
      </c>
      <c r="D19" s="25">
        <f>L17*0.05</f>
        <v>368.5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1474</v>
      </c>
    </row>
    <row r="20" spans="2:12">
      <c r="H20" s="8"/>
      <c r="I20" s="108" t="s">
        <v>49</v>
      </c>
      <c r="J20" s="107"/>
      <c r="K20" s="107"/>
      <c r="L20" s="34">
        <f>L17+L18+L19</f>
        <v>9581</v>
      </c>
    </row>
    <row r="21" spans="2:12">
      <c r="H21" s="8"/>
      <c r="I21" s="116" t="s">
        <v>50</v>
      </c>
      <c r="J21" s="117"/>
      <c r="K21" s="117"/>
      <c r="L21" s="35">
        <f>L20/L4</f>
        <v>9581</v>
      </c>
    </row>
    <row r="22" spans="2:12">
      <c r="G22" s="27" t="s">
        <v>51</v>
      </c>
      <c r="H22" s="40">
        <v>130</v>
      </c>
      <c r="I22" s="109" t="s">
        <v>52</v>
      </c>
      <c r="J22" s="110"/>
      <c r="K22" s="110"/>
      <c r="L22" s="33">
        <f>L21*(H22/100)</f>
        <v>12455.300000000001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479.05000000000007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996.42400000000009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2366.5070000000001</v>
      </c>
    </row>
    <row r="26" spans="2:12">
      <c r="H26" s="8"/>
      <c r="I26" s="101" t="s">
        <v>59</v>
      </c>
      <c r="J26" s="102"/>
      <c r="K26" s="102"/>
      <c r="L26" s="37">
        <f>SUM(L22:L25)</f>
        <v>16297.281000000001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09C8-EB4C-499F-ABE6-E50A795A44CD}">
  <dimension ref="B1:L32"/>
  <sheetViews>
    <sheetView showGridLines="0" workbookViewId="0">
      <selection activeCell="E33" sqref="E33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2:12">
      <c r="F1" s="1"/>
    </row>
    <row r="2" spans="2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2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130" t="s">
        <v>106</v>
      </c>
      <c r="J3" s="130"/>
      <c r="K3" s="5" t="s">
        <v>7</v>
      </c>
      <c r="L3" s="30"/>
    </row>
    <row r="4" spans="2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2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2:12">
      <c r="B6" s="17" t="s">
        <v>19</v>
      </c>
      <c r="C6" s="118" t="s">
        <v>20</v>
      </c>
      <c r="D6" s="119"/>
      <c r="E6" s="13">
        <v>600000</v>
      </c>
      <c r="F6" s="1"/>
      <c r="G6" s="130" t="s">
        <v>139</v>
      </c>
      <c r="H6" s="130"/>
      <c r="I6" s="48">
        <v>70</v>
      </c>
      <c r="J6" s="3" t="s">
        <v>22</v>
      </c>
      <c r="K6" s="47">
        <v>12000</v>
      </c>
      <c r="L6" s="31">
        <f>(K6/1000)*I6</f>
        <v>840</v>
      </c>
    </row>
    <row r="7" spans="2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140</v>
      </c>
      <c r="H7" s="127"/>
      <c r="I7" s="3">
        <v>80</v>
      </c>
      <c r="J7" s="3" t="s">
        <v>22</v>
      </c>
      <c r="K7" s="31">
        <v>19000</v>
      </c>
      <c r="L7" s="31">
        <f>(K7/900)*I7</f>
        <v>1688.8888888888889</v>
      </c>
    </row>
    <row r="8" spans="2:12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45" t="s">
        <v>141</v>
      </c>
      <c r="H8" s="146"/>
      <c r="I8" s="46">
        <v>100</v>
      </c>
      <c r="J8" s="46" t="s">
        <v>22</v>
      </c>
      <c r="K8" s="47">
        <v>5000</v>
      </c>
      <c r="L8" s="31">
        <f t="shared" ref="L8:L17" si="0">(K8/1000)*I8</f>
        <v>500</v>
      </c>
    </row>
    <row r="9" spans="2:12">
      <c r="G9" s="132" t="s">
        <v>142</v>
      </c>
      <c r="H9" s="132"/>
      <c r="I9" s="46"/>
      <c r="J9" s="46">
        <v>12</v>
      </c>
      <c r="K9" s="47">
        <v>9500</v>
      </c>
      <c r="L9" s="31">
        <f>K9/J9</f>
        <v>791.66666666666663</v>
      </c>
    </row>
    <row r="10" spans="2:12">
      <c r="F10" s="11"/>
      <c r="G10" s="88"/>
      <c r="H10" s="89"/>
      <c r="I10" s="3"/>
      <c r="J10" s="3"/>
      <c r="K10" s="31"/>
      <c r="L10" s="31">
        <f t="shared" si="0"/>
        <v>0</v>
      </c>
    </row>
    <row r="11" spans="2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2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2:12" ht="15" customHeight="1">
      <c r="G13" s="88"/>
      <c r="H13" s="89"/>
      <c r="I13" s="3"/>
      <c r="J13" s="3"/>
      <c r="K13" s="31"/>
      <c r="L13" s="31">
        <f t="shared" si="0"/>
        <v>0</v>
      </c>
    </row>
    <row r="14" spans="2:12" ht="15" customHeight="1">
      <c r="G14" s="88"/>
      <c r="H14" s="89"/>
      <c r="I14" s="3"/>
      <c r="J14" s="3"/>
      <c r="K14" s="31"/>
      <c r="L14" s="31">
        <f t="shared" si="0"/>
        <v>0</v>
      </c>
    </row>
    <row r="15" spans="2:12" ht="15" customHeight="1">
      <c r="G15" s="88"/>
      <c r="H15" s="89"/>
      <c r="I15" s="3"/>
      <c r="J15" s="3"/>
      <c r="K15" s="31"/>
      <c r="L15" s="31">
        <f t="shared" si="0"/>
        <v>0</v>
      </c>
    </row>
    <row r="16" spans="2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382.05555555555554</v>
      </c>
      <c r="I17" s="103" t="s">
        <v>43</v>
      </c>
      <c r="J17" s="104"/>
      <c r="K17" s="105"/>
      <c r="L17" s="33">
        <f>SUM(L6:L16)</f>
        <v>3820.5555555555552</v>
      </c>
    </row>
    <row r="18" spans="2:12">
      <c r="B18" s="114"/>
      <c r="C18" s="75" t="s">
        <v>44</v>
      </c>
      <c r="D18" s="25">
        <f>L17*0.05</f>
        <v>191.02777777777777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382.05555555555554</v>
      </c>
    </row>
    <row r="19" spans="2:12">
      <c r="B19" s="115"/>
      <c r="C19" s="75" t="s">
        <v>47</v>
      </c>
      <c r="D19" s="25">
        <f>L17*0.05</f>
        <v>191.02777777777777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764.11111111111109</v>
      </c>
    </row>
    <row r="20" spans="2:12">
      <c r="H20" s="8"/>
      <c r="I20" s="108" t="s">
        <v>49</v>
      </c>
      <c r="J20" s="107"/>
      <c r="K20" s="107"/>
      <c r="L20" s="34">
        <f>L17+L18+L19</f>
        <v>4966.7222222222217</v>
      </c>
    </row>
    <row r="21" spans="2:12">
      <c r="H21" s="8"/>
      <c r="I21" s="116" t="s">
        <v>50</v>
      </c>
      <c r="J21" s="117"/>
      <c r="K21" s="117"/>
      <c r="L21" s="35">
        <f>L20/L4</f>
        <v>4966.7222222222217</v>
      </c>
    </row>
    <row r="22" spans="2:12">
      <c r="G22" s="27" t="s">
        <v>51</v>
      </c>
      <c r="H22" s="40">
        <v>130</v>
      </c>
      <c r="I22" s="109" t="s">
        <v>52</v>
      </c>
      <c r="J22" s="110"/>
      <c r="K22" s="110"/>
      <c r="L22" s="33">
        <f>L21*(H22/100)</f>
        <v>6456.7388888888881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248.33611111111111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516.53911111111108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1226.7803888888889</v>
      </c>
    </row>
    <row r="26" spans="2:12">
      <c r="H26" s="8"/>
      <c r="I26" s="101" t="s">
        <v>59</v>
      </c>
      <c r="J26" s="102"/>
      <c r="K26" s="102"/>
      <c r="L26" s="37">
        <f>SUM(L22:L25)</f>
        <v>8448.3944999999985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02EF-A7CB-495A-B292-BDCB47357927}">
  <dimension ref="A1:L32"/>
  <sheetViews>
    <sheetView showGridLines="0" workbookViewId="0">
      <selection activeCell="L11" sqref="L11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143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144</v>
      </c>
      <c r="H6" s="130"/>
      <c r="I6" s="48">
        <v>10</v>
      </c>
      <c r="J6" s="46" t="s">
        <v>22</v>
      </c>
      <c r="K6" s="47">
        <v>114000</v>
      </c>
      <c r="L6" s="31">
        <f>(K6/2500)*I6</f>
        <v>456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145</v>
      </c>
      <c r="H7" s="132"/>
      <c r="I7" s="46"/>
      <c r="J7" s="46">
        <v>200</v>
      </c>
      <c r="K7" s="47">
        <v>7000</v>
      </c>
      <c r="L7" s="31">
        <f>K7/J7</f>
        <v>35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146</v>
      </c>
      <c r="H8" s="132"/>
      <c r="I8" s="46">
        <v>200</v>
      </c>
      <c r="J8" s="46" t="s">
        <v>34</v>
      </c>
      <c r="K8" s="47">
        <v>3700</v>
      </c>
      <c r="L8" s="31">
        <f>(K8/900)*I8</f>
        <v>822.22222222222217</v>
      </c>
    </row>
    <row r="9" spans="1:12">
      <c r="G9" s="88" t="s">
        <v>147</v>
      </c>
      <c r="H9" s="89"/>
      <c r="I9" s="3"/>
      <c r="J9" s="3">
        <v>30</v>
      </c>
      <c r="K9" s="31">
        <v>9500</v>
      </c>
      <c r="L9" s="31">
        <f>K9/J9</f>
        <v>316.66666666666669</v>
      </c>
    </row>
    <row r="10" spans="1:12">
      <c r="F10" s="11"/>
      <c r="G10" s="88" t="s">
        <v>148</v>
      </c>
      <c r="H10" s="89"/>
      <c r="I10" s="3"/>
      <c r="J10" s="3">
        <v>100</v>
      </c>
      <c r="K10" s="31">
        <v>19000</v>
      </c>
      <c r="L10" s="31">
        <f>K10/J10</f>
        <v>190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149</v>
      </c>
      <c r="H11" s="89"/>
      <c r="I11" s="3"/>
      <c r="J11" s="3">
        <v>500</v>
      </c>
      <c r="K11" s="31">
        <v>7000</v>
      </c>
      <c r="L11" s="31">
        <f>K11/J11</f>
        <v>14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6:L16" si="0">(K12/1000)*I12</f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183.38888888888891</v>
      </c>
      <c r="I17" s="103" t="s">
        <v>43</v>
      </c>
      <c r="J17" s="104"/>
      <c r="K17" s="105"/>
      <c r="L17" s="33">
        <f>SUM(L6:L16)</f>
        <v>1833.8888888888889</v>
      </c>
    </row>
    <row r="18" spans="2:12">
      <c r="B18" s="114"/>
      <c r="C18" s="75" t="s">
        <v>44</v>
      </c>
      <c r="D18" s="25">
        <f>L17*0.05</f>
        <v>91.694444444444457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183.38888888888891</v>
      </c>
    </row>
    <row r="19" spans="2:12">
      <c r="B19" s="115"/>
      <c r="C19" s="75" t="s">
        <v>47</v>
      </c>
      <c r="D19" s="25">
        <f>L17*0.05</f>
        <v>91.694444444444457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366.77777777777783</v>
      </c>
    </row>
    <row r="20" spans="2:12">
      <c r="H20" s="8"/>
      <c r="I20" s="108" t="s">
        <v>49</v>
      </c>
      <c r="J20" s="107"/>
      <c r="K20" s="107"/>
      <c r="L20" s="34">
        <f>L17+L18+L19</f>
        <v>2384.0555555555557</v>
      </c>
    </row>
    <row r="21" spans="2:12">
      <c r="H21" s="8"/>
      <c r="I21" s="116" t="s">
        <v>50</v>
      </c>
      <c r="J21" s="117"/>
      <c r="K21" s="117"/>
      <c r="L21" s="35">
        <f>L20/L4</f>
        <v>2384.0555555555557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3576.0833333333335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137.54166666666669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286.0866666666667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679.45583333333332</v>
      </c>
    </row>
    <row r="26" spans="2:12">
      <c r="H26" s="8"/>
      <c r="I26" s="101" t="s">
        <v>59</v>
      </c>
      <c r="J26" s="102"/>
      <c r="K26" s="102"/>
      <c r="L26" s="37">
        <f>SUM(L22:L25)</f>
        <v>4679.1674999999996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C4:D4"/>
    <mergeCell ref="G4:H4"/>
    <mergeCell ref="I4:J4"/>
    <mergeCell ref="C2:D2"/>
    <mergeCell ref="I2:L2"/>
    <mergeCell ref="C3:D3"/>
    <mergeCell ref="G3:H3"/>
    <mergeCell ref="I3:J3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I26:K26"/>
    <mergeCell ref="I20:K20"/>
    <mergeCell ref="I21:K21"/>
    <mergeCell ref="I22:K22"/>
    <mergeCell ref="I23:K23"/>
    <mergeCell ref="I24:K24"/>
    <mergeCell ref="I25:K25"/>
    <mergeCell ref="G16:H16"/>
    <mergeCell ref="C12:D12"/>
    <mergeCell ref="G12:H12"/>
    <mergeCell ref="G13:H13"/>
    <mergeCell ref="B17:B19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301F-EC28-475D-8AB1-EE29F6D8457A}">
  <dimension ref="A1:L32"/>
  <sheetViews>
    <sheetView showGridLines="0" workbookViewId="0">
      <selection activeCell="L12" sqref="L12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150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144</v>
      </c>
      <c r="H6" s="130"/>
      <c r="I6" s="48">
        <v>10</v>
      </c>
      <c r="J6" s="46" t="s">
        <v>22</v>
      </c>
      <c r="K6" s="47">
        <v>114000</v>
      </c>
      <c r="L6" s="31">
        <f>(K6/2500)*I6</f>
        <v>456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145</v>
      </c>
      <c r="H7" s="132"/>
      <c r="I7" s="46"/>
      <c r="J7" s="46">
        <v>200</v>
      </c>
      <c r="K7" s="47">
        <v>7000</v>
      </c>
      <c r="L7" s="31">
        <f>K7/J7</f>
        <v>35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146</v>
      </c>
      <c r="H8" s="132"/>
      <c r="I8" s="46">
        <v>200</v>
      </c>
      <c r="J8" s="46" t="s">
        <v>34</v>
      </c>
      <c r="K8" s="47">
        <v>3700</v>
      </c>
      <c r="L8" s="31">
        <f>(K8/900)*I8</f>
        <v>822.22222222222217</v>
      </c>
    </row>
    <row r="9" spans="1:12">
      <c r="G9" s="88" t="s">
        <v>147</v>
      </c>
      <c r="H9" s="89"/>
      <c r="I9" s="3"/>
      <c r="J9" s="3">
        <v>30</v>
      </c>
      <c r="K9" s="31">
        <v>9500</v>
      </c>
      <c r="L9" s="31">
        <f>K9/J9</f>
        <v>316.66666666666669</v>
      </c>
    </row>
    <row r="10" spans="1:12">
      <c r="F10" s="11"/>
      <c r="G10" s="88" t="s">
        <v>148</v>
      </c>
      <c r="H10" s="89"/>
      <c r="I10" s="3"/>
      <c r="J10" s="3">
        <v>100</v>
      </c>
      <c r="K10" s="31">
        <v>19000</v>
      </c>
      <c r="L10" s="31">
        <f>K10/J10</f>
        <v>190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149</v>
      </c>
      <c r="H11" s="89"/>
      <c r="I11" s="3"/>
      <c r="J11" s="3">
        <v>500</v>
      </c>
      <c r="K11" s="31">
        <v>7000</v>
      </c>
      <c r="L11" s="31">
        <f>K11/J11</f>
        <v>14</v>
      </c>
    </row>
    <row r="12" spans="1:12" ht="15" customHeight="1">
      <c r="B12" s="16" t="s">
        <v>35</v>
      </c>
      <c r="C12" s="122" t="s">
        <v>36</v>
      </c>
      <c r="D12" s="123"/>
      <c r="E12" s="24"/>
      <c r="G12" s="88" t="s">
        <v>151</v>
      </c>
      <c r="H12" s="89"/>
      <c r="I12" s="3">
        <v>5</v>
      </c>
      <c r="J12" s="3" t="s">
        <v>22</v>
      </c>
      <c r="K12" s="31">
        <v>32000</v>
      </c>
      <c r="L12" s="31">
        <f t="shared" ref="L12:L22" si="0">(K12/1000)*I12</f>
        <v>160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199.38888888888891</v>
      </c>
      <c r="I17" s="103" t="s">
        <v>43</v>
      </c>
      <c r="J17" s="104"/>
      <c r="K17" s="105"/>
      <c r="L17" s="33">
        <f>SUM(L6:L16)</f>
        <v>1993.8888888888889</v>
      </c>
    </row>
    <row r="18" spans="2:12">
      <c r="B18" s="114"/>
      <c r="C18" s="75" t="s">
        <v>44</v>
      </c>
      <c r="D18" s="25">
        <f>L17*0.05</f>
        <v>99.694444444444457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199.38888888888891</v>
      </c>
    </row>
    <row r="19" spans="2:12">
      <c r="B19" s="115"/>
      <c r="C19" s="75" t="s">
        <v>47</v>
      </c>
      <c r="D19" s="25">
        <f>L17*0.05</f>
        <v>99.694444444444457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398.77777777777783</v>
      </c>
    </row>
    <row r="20" spans="2:12">
      <c r="H20" s="8"/>
      <c r="I20" s="108" t="s">
        <v>49</v>
      </c>
      <c r="J20" s="107"/>
      <c r="K20" s="107"/>
      <c r="L20" s="34">
        <f>L17+L18+L19</f>
        <v>2592.0555555555557</v>
      </c>
    </row>
    <row r="21" spans="2:12">
      <c r="H21" s="8"/>
      <c r="I21" s="116" t="s">
        <v>50</v>
      </c>
      <c r="J21" s="117"/>
      <c r="K21" s="117"/>
      <c r="L21" s="35">
        <f>L20/L4</f>
        <v>2592.0555555555557</v>
      </c>
    </row>
    <row r="22" spans="2:12">
      <c r="G22" s="27" t="s">
        <v>51</v>
      </c>
      <c r="H22" s="40">
        <v>140</v>
      </c>
      <c r="I22" s="109" t="s">
        <v>52</v>
      </c>
      <c r="J22" s="110"/>
      <c r="K22" s="110"/>
      <c r="L22" s="33">
        <f>L21*(H22/100)</f>
        <v>3628.8777777777777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139.57222222222222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290.31022222222225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689.48677777777777</v>
      </c>
    </row>
    <row r="26" spans="2:12">
      <c r="H26" s="8"/>
      <c r="I26" s="101" t="s">
        <v>59</v>
      </c>
      <c r="J26" s="102"/>
      <c r="K26" s="102"/>
      <c r="L26" s="37">
        <f>SUM(L22:L25)</f>
        <v>4748.2470000000003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2D10-D97C-497E-A117-D74AA9DD605E}">
  <dimension ref="A1:L32"/>
  <sheetViews>
    <sheetView showGridLines="0" workbookViewId="0">
      <selection activeCell="L11" sqref="L11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152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144</v>
      </c>
      <c r="H6" s="130"/>
      <c r="I6" s="48">
        <v>10</v>
      </c>
      <c r="J6" s="46" t="s">
        <v>22</v>
      </c>
      <c r="K6" s="47">
        <v>114000</v>
      </c>
      <c r="L6" s="31">
        <f>(K6/2500)*I6</f>
        <v>456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145</v>
      </c>
      <c r="H7" s="132"/>
      <c r="I7" s="46"/>
      <c r="J7" s="46">
        <v>200</v>
      </c>
      <c r="K7" s="47">
        <v>7000</v>
      </c>
      <c r="L7" s="31">
        <f>K7/J7</f>
        <v>35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146</v>
      </c>
      <c r="H8" s="132"/>
      <c r="I8" s="46">
        <v>200</v>
      </c>
      <c r="J8" s="46" t="s">
        <v>34</v>
      </c>
      <c r="K8" s="47">
        <v>3700</v>
      </c>
      <c r="L8" s="31">
        <f>(K8/900)*I8</f>
        <v>822.22222222222217</v>
      </c>
    </row>
    <row r="9" spans="1:12">
      <c r="G9" s="88" t="s">
        <v>147</v>
      </c>
      <c r="H9" s="89"/>
      <c r="I9" s="3"/>
      <c r="J9" s="3">
        <v>30</v>
      </c>
      <c r="K9" s="31">
        <v>9500</v>
      </c>
      <c r="L9" s="31">
        <f>K9/J9</f>
        <v>316.66666666666669</v>
      </c>
    </row>
    <row r="10" spans="1:12">
      <c r="F10" s="11"/>
      <c r="G10" s="88" t="s">
        <v>148</v>
      </c>
      <c r="H10" s="89"/>
      <c r="I10" s="3"/>
      <c r="J10" s="3">
        <v>100</v>
      </c>
      <c r="K10" s="31">
        <v>19000</v>
      </c>
      <c r="L10" s="31">
        <f>K10/J10</f>
        <v>190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149</v>
      </c>
      <c r="H11" s="89"/>
      <c r="I11" s="3"/>
      <c r="J11" s="3">
        <v>500</v>
      </c>
      <c r="K11" s="31">
        <v>7000</v>
      </c>
      <c r="L11" s="31">
        <f>K11/J11</f>
        <v>14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12:L22" si="0">(K12/1000)*I12</f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183.38888888888891</v>
      </c>
      <c r="I17" s="103" t="s">
        <v>43</v>
      </c>
      <c r="J17" s="104"/>
      <c r="K17" s="105"/>
      <c r="L17" s="33">
        <f>SUM(L6:L16)</f>
        <v>1833.8888888888889</v>
      </c>
    </row>
    <row r="18" spans="2:12">
      <c r="B18" s="114"/>
      <c r="C18" s="75" t="s">
        <v>44</v>
      </c>
      <c r="D18" s="25">
        <f>L17*0.05</f>
        <v>91.694444444444457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183.38888888888891</v>
      </c>
    </row>
    <row r="19" spans="2:12">
      <c r="B19" s="115"/>
      <c r="C19" s="75" t="s">
        <v>47</v>
      </c>
      <c r="D19" s="25">
        <f>L17*0.05</f>
        <v>91.694444444444457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366.77777777777783</v>
      </c>
    </row>
    <row r="20" spans="2:12">
      <c r="H20" s="8"/>
      <c r="I20" s="108" t="s">
        <v>49</v>
      </c>
      <c r="J20" s="107"/>
      <c r="K20" s="107"/>
      <c r="L20" s="34">
        <f>L17+L18+L19</f>
        <v>2384.0555555555557</v>
      </c>
    </row>
    <row r="21" spans="2:12">
      <c r="H21" s="8"/>
      <c r="I21" s="116" t="s">
        <v>50</v>
      </c>
      <c r="J21" s="117"/>
      <c r="K21" s="117"/>
      <c r="L21" s="35">
        <f>L20/L4</f>
        <v>2384.0555555555557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3576.0833333333335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137.54166666666669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286.0866666666667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679.45583333333332</v>
      </c>
    </row>
    <row r="26" spans="2:12">
      <c r="H26" s="8"/>
      <c r="I26" s="101" t="s">
        <v>59</v>
      </c>
      <c r="J26" s="102"/>
      <c r="K26" s="102"/>
      <c r="L26" s="37">
        <f>SUM(L22:L25)</f>
        <v>4679.1674999999996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A36E-09B6-4C9A-9D14-6707F3D38420}">
  <dimension ref="A1:L32"/>
  <sheetViews>
    <sheetView showGridLines="0" workbookViewId="0">
      <selection activeCell="L11" sqref="L11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153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88" t="s">
        <v>151</v>
      </c>
      <c r="H6" s="89"/>
      <c r="I6" s="3">
        <v>7</v>
      </c>
      <c r="J6" s="3" t="s">
        <v>22</v>
      </c>
      <c r="K6" s="31">
        <v>32000</v>
      </c>
      <c r="L6" s="31">
        <f>(K6/1000)*I6</f>
        <v>224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145</v>
      </c>
      <c r="H7" s="132"/>
      <c r="I7" s="46"/>
      <c r="J7" s="46">
        <v>200</v>
      </c>
      <c r="K7" s="47">
        <v>7000</v>
      </c>
      <c r="L7" s="31">
        <f>K7/J7</f>
        <v>35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146</v>
      </c>
      <c r="H8" s="132"/>
      <c r="I8" s="46">
        <v>200</v>
      </c>
      <c r="J8" s="46" t="s">
        <v>34</v>
      </c>
      <c r="K8" s="47">
        <v>3700</v>
      </c>
      <c r="L8" s="31">
        <f>(K8/900)*I8</f>
        <v>822.22222222222217</v>
      </c>
    </row>
    <row r="9" spans="1:12">
      <c r="G9" s="88" t="s">
        <v>147</v>
      </c>
      <c r="H9" s="89"/>
      <c r="I9" s="3"/>
      <c r="J9" s="3">
        <v>30</v>
      </c>
      <c r="K9" s="31">
        <v>9500</v>
      </c>
      <c r="L9" s="31">
        <f>K9/J9</f>
        <v>316.66666666666669</v>
      </c>
    </row>
    <row r="10" spans="1:12">
      <c r="F10" s="11"/>
      <c r="G10" s="88" t="s">
        <v>148</v>
      </c>
      <c r="H10" s="89"/>
      <c r="I10" s="3"/>
      <c r="J10" s="3">
        <v>100</v>
      </c>
      <c r="K10" s="31">
        <v>19000</v>
      </c>
      <c r="L10" s="31">
        <f>K10/J10</f>
        <v>190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149</v>
      </c>
      <c r="H11" s="89"/>
      <c r="I11" s="3"/>
      <c r="J11" s="3">
        <v>500</v>
      </c>
      <c r="K11" s="31">
        <v>7000</v>
      </c>
      <c r="L11" s="31">
        <f>K11/J11</f>
        <v>14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12:L22" si="0">(K12/1000)*I12</f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160.1888888888889</v>
      </c>
      <c r="I17" s="103" t="s">
        <v>43</v>
      </c>
      <c r="J17" s="104"/>
      <c r="K17" s="105"/>
      <c r="L17" s="33">
        <f>SUM(L6:L16)</f>
        <v>1601.8888888888889</v>
      </c>
    </row>
    <row r="18" spans="2:12">
      <c r="B18" s="114"/>
      <c r="C18" s="75" t="s">
        <v>44</v>
      </c>
      <c r="D18" s="25">
        <f>L17*0.05</f>
        <v>80.094444444444449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160.1888888888889</v>
      </c>
    </row>
    <row r="19" spans="2:12">
      <c r="B19" s="115"/>
      <c r="C19" s="75" t="s">
        <v>47</v>
      </c>
      <c r="D19" s="25">
        <f>L17*0.05</f>
        <v>80.094444444444449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320.37777777777779</v>
      </c>
    </row>
    <row r="20" spans="2:12">
      <c r="H20" s="8"/>
      <c r="I20" s="108" t="s">
        <v>49</v>
      </c>
      <c r="J20" s="107"/>
      <c r="K20" s="107"/>
      <c r="L20" s="34">
        <f>L17+L18+L19</f>
        <v>2082.4555555555557</v>
      </c>
    </row>
    <row r="21" spans="2:12">
      <c r="H21" s="8"/>
      <c r="I21" s="116" t="s">
        <v>50</v>
      </c>
      <c r="J21" s="117"/>
      <c r="K21" s="117"/>
      <c r="L21" s="35">
        <f>L20/L4</f>
        <v>2082.4555555555557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3123.6833333333334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120.14166666666668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249.89466666666667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593.4998333333333</v>
      </c>
    </row>
    <row r="26" spans="2:12">
      <c r="H26" s="8"/>
      <c r="I26" s="101" t="s">
        <v>59</v>
      </c>
      <c r="J26" s="102"/>
      <c r="K26" s="102"/>
      <c r="L26" s="37">
        <f>SUM(L22:L25)</f>
        <v>4087.2195000000002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2A60-34E8-46FE-A7E2-7B0D4D572D3F}">
  <dimension ref="A1:L32"/>
  <sheetViews>
    <sheetView showGridLines="0" workbookViewId="0">
      <selection activeCell="N14" sqref="N14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154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144</v>
      </c>
      <c r="H6" s="130"/>
      <c r="I6" s="48">
        <v>20</v>
      </c>
      <c r="J6" s="46" t="s">
        <v>22</v>
      </c>
      <c r="K6" s="47">
        <v>114000</v>
      </c>
      <c r="L6" s="31">
        <f>(K6/2500)*I6</f>
        <v>912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32" t="s">
        <v>145</v>
      </c>
      <c r="H7" s="132"/>
      <c r="I7" s="46"/>
      <c r="J7" s="46">
        <v>200</v>
      </c>
      <c r="K7" s="47">
        <v>7000</v>
      </c>
      <c r="L7" s="31">
        <f>K7/J7</f>
        <v>35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/>
      <c r="H8" s="132"/>
      <c r="I8" s="46"/>
      <c r="J8" s="46"/>
      <c r="K8" s="47"/>
      <c r="L8" s="31">
        <f>(K8/900)*I8</f>
        <v>0</v>
      </c>
    </row>
    <row r="9" spans="1:12">
      <c r="G9" s="88" t="s">
        <v>147</v>
      </c>
      <c r="H9" s="89"/>
      <c r="I9" s="3"/>
      <c r="J9" s="3">
        <v>30</v>
      </c>
      <c r="K9" s="31">
        <v>9500</v>
      </c>
      <c r="L9" s="31">
        <f>K9/J9</f>
        <v>316.66666666666669</v>
      </c>
    </row>
    <row r="10" spans="1:12">
      <c r="F10" s="11"/>
      <c r="G10" s="88" t="s">
        <v>148</v>
      </c>
      <c r="H10" s="89"/>
      <c r="I10" s="3"/>
      <c r="J10" s="3">
        <v>100</v>
      </c>
      <c r="K10" s="31">
        <v>19000</v>
      </c>
      <c r="L10" s="31">
        <f>K10/J10</f>
        <v>190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149</v>
      </c>
      <c r="H11" s="89"/>
      <c r="I11" s="3"/>
      <c r="J11" s="3">
        <v>500</v>
      </c>
      <c r="K11" s="31">
        <v>7000</v>
      </c>
      <c r="L11" s="31">
        <f>K11/J11</f>
        <v>14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ref="L12:L22" si="0">(K12/1000)*I12</f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146.76666666666668</v>
      </c>
      <c r="I17" s="103" t="s">
        <v>43</v>
      </c>
      <c r="J17" s="104"/>
      <c r="K17" s="105"/>
      <c r="L17" s="33">
        <f>SUM(L6:L16)</f>
        <v>1467.6666666666667</v>
      </c>
    </row>
    <row r="18" spans="2:12">
      <c r="B18" s="114"/>
      <c r="C18" s="75" t="s">
        <v>44</v>
      </c>
      <c r="D18" s="25">
        <f>L17*0.05</f>
        <v>73.38333333333334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146.76666666666668</v>
      </c>
    </row>
    <row r="19" spans="2:12">
      <c r="B19" s="115"/>
      <c r="C19" s="75" t="s">
        <v>47</v>
      </c>
      <c r="D19" s="25">
        <f>L17*0.05</f>
        <v>73.38333333333334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293.53333333333336</v>
      </c>
    </row>
    <row r="20" spans="2:12">
      <c r="H20" s="8"/>
      <c r="I20" s="108" t="s">
        <v>49</v>
      </c>
      <c r="J20" s="107"/>
      <c r="K20" s="107"/>
      <c r="L20" s="34">
        <f>L17+L18+L19</f>
        <v>1907.9666666666667</v>
      </c>
    </row>
    <row r="21" spans="2:12">
      <c r="H21" s="8"/>
      <c r="I21" s="116" t="s">
        <v>50</v>
      </c>
      <c r="J21" s="117"/>
      <c r="K21" s="117"/>
      <c r="L21" s="35">
        <f>L20/L4</f>
        <v>1907.9666666666667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2861.95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110.075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228.95599999999999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543.77049999999997</v>
      </c>
    </row>
    <row r="26" spans="2:12">
      <c r="H26" s="8"/>
      <c r="I26" s="101" t="s">
        <v>59</v>
      </c>
      <c r="J26" s="102"/>
      <c r="K26" s="102"/>
      <c r="L26" s="37">
        <f>SUM(L22:L25)</f>
        <v>3744.7514999999999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G16:H16"/>
    <mergeCell ref="C12:D12"/>
    <mergeCell ref="G12:H12"/>
    <mergeCell ref="G13:H13"/>
    <mergeCell ref="B17:B19"/>
    <mergeCell ref="I26:K26"/>
    <mergeCell ref="I20:K20"/>
    <mergeCell ref="I21:K21"/>
    <mergeCell ref="I22:K22"/>
    <mergeCell ref="I23:K23"/>
    <mergeCell ref="I24:K24"/>
    <mergeCell ref="I25:K25"/>
    <mergeCell ref="I17:K17"/>
    <mergeCell ref="I18:K18"/>
    <mergeCell ref="I19:K19"/>
    <mergeCell ref="C5:D5"/>
    <mergeCell ref="G5:H5"/>
    <mergeCell ref="C6:D6"/>
    <mergeCell ref="G6:H6"/>
    <mergeCell ref="C7:D7"/>
    <mergeCell ref="G7:H7"/>
    <mergeCell ref="G14:H14"/>
    <mergeCell ref="G15:H15"/>
    <mergeCell ref="C8:D8"/>
    <mergeCell ref="G8:H8"/>
    <mergeCell ref="G9:H9"/>
    <mergeCell ref="G10:H10"/>
    <mergeCell ref="G11:H11"/>
    <mergeCell ref="C4:D4"/>
    <mergeCell ref="G4:H4"/>
    <mergeCell ref="I4:J4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2C5-60D4-48CB-850E-21A663F0C376}">
  <dimension ref="A1:S32"/>
  <sheetViews>
    <sheetView showGridLines="0" workbookViewId="0">
      <selection activeCell="U13" sqref="U13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9">
      <c r="A1" t="s">
        <v>130</v>
      </c>
      <c r="F1" s="1"/>
    </row>
    <row r="2" spans="1:19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  <c r="N2" s="5" t="s">
        <v>2</v>
      </c>
      <c r="O2" s="5"/>
      <c r="P2" s="90"/>
      <c r="Q2" s="91"/>
      <c r="R2" s="91"/>
      <c r="S2" s="92"/>
    </row>
    <row r="3" spans="1:19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155</v>
      </c>
      <c r="J3" s="92"/>
      <c r="K3" s="5" t="s">
        <v>7</v>
      </c>
      <c r="L3" s="30">
        <v>45158</v>
      </c>
      <c r="N3" s="93" t="s">
        <v>5</v>
      </c>
      <c r="O3" s="94"/>
      <c r="P3" s="90" t="s">
        <v>155</v>
      </c>
      <c r="Q3" s="92"/>
      <c r="R3" s="5" t="s">
        <v>7</v>
      </c>
      <c r="S3" s="30">
        <v>45158</v>
      </c>
    </row>
    <row r="4" spans="1:19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  <c r="N4" s="95" t="s">
        <v>10</v>
      </c>
      <c r="O4" s="96"/>
      <c r="P4" s="97"/>
      <c r="Q4" s="98"/>
      <c r="R4" s="7" t="s">
        <v>11</v>
      </c>
      <c r="S4" s="4">
        <v>1</v>
      </c>
    </row>
    <row r="5" spans="1:19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  <c r="N5" s="128" t="s">
        <v>14</v>
      </c>
      <c r="O5" s="129"/>
      <c r="P5" s="6" t="s">
        <v>15</v>
      </c>
      <c r="Q5" s="6" t="s">
        <v>16</v>
      </c>
      <c r="R5" s="6" t="s">
        <v>17</v>
      </c>
      <c r="S5" s="6" t="s">
        <v>18</v>
      </c>
    </row>
    <row r="6" spans="1:19">
      <c r="B6" s="17" t="s">
        <v>19</v>
      </c>
      <c r="C6" s="118" t="s">
        <v>20</v>
      </c>
      <c r="D6" s="119"/>
      <c r="E6" s="13">
        <v>600000</v>
      </c>
      <c r="F6" s="1"/>
      <c r="G6" s="130" t="s">
        <v>156</v>
      </c>
      <c r="H6" s="130"/>
      <c r="I6" s="48">
        <v>200</v>
      </c>
      <c r="J6" s="46" t="s">
        <v>22</v>
      </c>
      <c r="K6" s="47">
        <v>3700</v>
      </c>
      <c r="L6" s="31">
        <f>(K6/900)*I6</f>
        <v>822.22222222222217</v>
      </c>
      <c r="N6" s="130" t="s">
        <v>156</v>
      </c>
      <c r="O6" s="130"/>
      <c r="P6" s="48">
        <v>200</v>
      </c>
      <c r="Q6" s="46" t="s">
        <v>22</v>
      </c>
      <c r="R6" s="47">
        <v>3700</v>
      </c>
      <c r="S6" s="31">
        <f>(R6/900)*P6</f>
        <v>822.22222222222217</v>
      </c>
    </row>
    <row r="7" spans="1:19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99</v>
      </c>
      <c r="H7" s="127"/>
      <c r="I7" s="3">
        <v>70</v>
      </c>
      <c r="J7" s="3" t="s">
        <v>22</v>
      </c>
      <c r="K7" s="31">
        <v>19000</v>
      </c>
      <c r="L7" s="31">
        <f>(K7/1000)*I7</f>
        <v>1330</v>
      </c>
      <c r="N7" s="126" t="s">
        <v>99</v>
      </c>
      <c r="O7" s="127"/>
      <c r="P7" s="3">
        <v>70</v>
      </c>
      <c r="Q7" s="3" t="s">
        <v>22</v>
      </c>
      <c r="R7" s="31">
        <v>19000</v>
      </c>
      <c r="S7" s="31">
        <f>(R7/1000)*P7</f>
        <v>1330</v>
      </c>
    </row>
    <row r="8" spans="1:19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132" t="s">
        <v>157</v>
      </c>
      <c r="H8" s="132"/>
      <c r="I8" s="46">
        <v>3</v>
      </c>
      <c r="J8" s="46" t="s">
        <v>22</v>
      </c>
      <c r="K8" s="47">
        <v>23000</v>
      </c>
      <c r="L8" s="31">
        <f>(K8/170)*I8</f>
        <v>405.88235294117646</v>
      </c>
      <c r="N8" s="132" t="s">
        <v>157</v>
      </c>
      <c r="O8" s="132"/>
      <c r="P8" s="46">
        <v>3</v>
      </c>
      <c r="Q8" s="46" t="s">
        <v>22</v>
      </c>
      <c r="R8" s="47">
        <v>23000</v>
      </c>
      <c r="S8" s="31">
        <f>(R8/170)*P8</f>
        <v>405.88235294117646</v>
      </c>
    </row>
    <row r="9" spans="1:19">
      <c r="G9" s="132" t="s">
        <v>158</v>
      </c>
      <c r="H9" s="132"/>
      <c r="I9" s="3">
        <v>2</v>
      </c>
      <c r="J9" s="3">
        <v>15</v>
      </c>
      <c r="K9" s="31">
        <v>8600</v>
      </c>
      <c r="L9" s="31">
        <f>I9*(K9/J9)</f>
        <v>1146.6666666666667</v>
      </c>
      <c r="N9" s="88" t="s">
        <v>159</v>
      </c>
      <c r="O9" s="89"/>
      <c r="P9" s="3">
        <v>3</v>
      </c>
      <c r="Q9" s="3">
        <v>72</v>
      </c>
      <c r="R9" s="31">
        <v>17000</v>
      </c>
      <c r="S9" s="31">
        <f>P9*(R9/Q9)</f>
        <v>708.33333333333337</v>
      </c>
    </row>
    <row r="10" spans="1:19">
      <c r="F10" s="11"/>
      <c r="G10" s="131" t="s">
        <v>102</v>
      </c>
      <c r="H10" s="89"/>
      <c r="I10" s="3">
        <v>12</v>
      </c>
      <c r="J10" s="3" t="s">
        <v>22</v>
      </c>
      <c r="K10" s="31">
        <v>22250</v>
      </c>
      <c r="L10" s="31">
        <f>(K10/650)*I10</f>
        <v>410.76923076923083</v>
      </c>
      <c r="N10" s="131" t="s">
        <v>102</v>
      </c>
      <c r="O10" s="89"/>
      <c r="P10" s="3">
        <v>12</v>
      </c>
      <c r="Q10" s="3" t="s">
        <v>22</v>
      </c>
      <c r="R10" s="31">
        <v>22250</v>
      </c>
      <c r="S10" s="31">
        <f>(R10/650)*P10</f>
        <v>410.76923076923083</v>
      </c>
    </row>
    <row r="11" spans="1:19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 t="s">
        <v>160</v>
      </c>
      <c r="H11" s="89"/>
      <c r="I11" s="3">
        <v>5</v>
      </c>
      <c r="J11" s="3" t="s">
        <v>22</v>
      </c>
      <c r="K11" s="31">
        <v>17000</v>
      </c>
      <c r="L11" s="31">
        <f>(K11/1000)*I11</f>
        <v>85</v>
      </c>
      <c r="N11" s="88" t="s">
        <v>160</v>
      </c>
      <c r="O11" s="89"/>
      <c r="P11" s="3">
        <v>5</v>
      </c>
      <c r="Q11" s="3" t="s">
        <v>22</v>
      </c>
      <c r="R11" s="31">
        <v>17000</v>
      </c>
      <c r="S11" s="31">
        <f>(R11/1000)*P11</f>
        <v>85</v>
      </c>
    </row>
    <row r="12" spans="1:19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>(K12/1000)*I12</f>
        <v>0</v>
      </c>
      <c r="N12" s="88"/>
      <c r="O12" s="89"/>
      <c r="P12" s="3"/>
      <c r="Q12" s="3"/>
      <c r="R12" s="31"/>
      <c r="S12" s="31">
        <f t="shared" ref="S12:S16" si="0">(R12/1000)*P12</f>
        <v>0</v>
      </c>
    </row>
    <row r="13" spans="1:19" ht="15" customHeight="1">
      <c r="G13" s="88"/>
      <c r="H13" s="89"/>
      <c r="I13" s="3"/>
      <c r="J13" s="3"/>
      <c r="K13" s="31"/>
      <c r="L13" s="31">
        <f t="shared" ref="L7:L14" si="1">(K13/2500)*I13</f>
        <v>0</v>
      </c>
      <c r="N13" s="88"/>
      <c r="O13" s="89"/>
      <c r="P13" s="3"/>
      <c r="Q13" s="3"/>
      <c r="R13" s="31"/>
      <c r="S13" s="31">
        <f t="shared" si="0"/>
        <v>0</v>
      </c>
    </row>
    <row r="14" spans="1:19" ht="15" customHeight="1">
      <c r="G14" s="88"/>
      <c r="H14" s="89"/>
      <c r="I14" s="3"/>
      <c r="J14" s="3"/>
      <c r="K14" s="31"/>
      <c r="L14" s="31">
        <f t="shared" si="1"/>
        <v>0</v>
      </c>
      <c r="N14" s="88"/>
      <c r="O14" s="89"/>
      <c r="P14" s="3"/>
      <c r="Q14" s="3"/>
      <c r="R14" s="31"/>
      <c r="S14" s="31">
        <f t="shared" si="0"/>
        <v>0</v>
      </c>
    </row>
    <row r="15" spans="1:19" ht="15" customHeight="1">
      <c r="G15" s="88"/>
      <c r="H15" s="89"/>
      <c r="I15" s="3"/>
      <c r="J15" s="3"/>
      <c r="K15" s="31"/>
      <c r="L15" s="31">
        <f t="shared" ref="L12:L22" si="2">(K15/1000)*I15</f>
        <v>0</v>
      </c>
      <c r="N15" s="88"/>
      <c r="O15" s="89"/>
      <c r="P15" s="3"/>
      <c r="Q15" s="3"/>
      <c r="R15" s="31"/>
      <c r="S15" s="31">
        <f t="shared" si="0"/>
        <v>0</v>
      </c>
    </row>
    <row r="16" spans="1:19" ht="15" customHeight="1">
      <c r="G16" s="88"/>
      <c r="H16" s="89"/>
      <c r="I16" s="26"/>
      <c r="J16" s="26"/>
      <c r="K16" s="32"/>
      <c r="L16" s="31">
        <f t="shared" si="2"/>
        <v>0</v>
      </c>
      <c r="N16" s="88"/>
      <c r="O16" s="89"/>
      <c r="P16" s="26"/>
      <c r="Q16" s="26"/>
      <c r="R16" s="32"/>
      <c r="S16" s="31">
        <f t="shared" si="0"/>
        <v>0</v>
      </c>
    </row>
    <row r="17" spans="2:19">
      <c r="B17" s="113" t="s">
        <v>41</v>
      </c>
      <c r="C17" s="75" t="s">
        <v>42</v>
      </c>
      <c r="D17" s="25">
        <f>L18</f>
        <v>420.05404725992958</v>
      </c>
      <c r="I17" s="103" t="s">
        <v>43</v>
      </c>
      <c r="J17" s="104"/>
      <c r="K17" s="105"/>
      <c r="L17" s="33">
        <f>SUM(L6:L16)</f>
        <v>4200.5404725992958</v>
      </c>
      <c r="P17" s="103" t="s">
        <v>43</v>
      </c>
      <c r="Q17" s="104"/>
      <c r="R17" s="105"/>
      <c r="S17" s="33">
        <f>SUM(S6:S16)</f>
        <v>3762.2071392659632</v>
      </c>
    </row>
    <row r="18" spans="2:19">
      <c r="B18" s="114"/>
      <c r="C18" s="75" t="s">
        <v>44</v>
      </c>
      <c r="D18" s="25">
        <f>L17*0.05</f>
        <v>210.02702362996479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420.05404725992958</v>
      </c>
      <c r="N18" s="27" t="s">
        <v>45</v>
      </c>
      <c r="O18" s="44">
        <v>10</v>
      </c>
      <c r="P18" s="106" t="s">
        <v>46</v>
      </c>
      <c r="Q18" s="107"/>
      <c r="R18" s="107"/>
      <c r="S18" s="34">
        <f>S17*(O18/100)</f>
        <v>376.22071392659632</v>
      </c>
    </row>
    <row r="19" spans="2:19">
      <c r="B19" s="115"/>
      <c r="C19" s="75" t="s">
        <v>47</v>
      </c>
      <c r="D19" s="25">
        <f>L17*0.05</f>
        <v>210.02702362996479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840.10809451985915</v>
      </c>
      <c r="N19" s="28" t="s">
        <v>41</v>
      </c>
      <c r="O19" s="45">
        <v>15</v>
      </c>
      <c r="P19" s="106" t="s">
        <v>48</v>
      </c>
      <c r="Q19" s="107"/>
      <c r="R19" s="107"/>
      <c r="S19" s="34">
        <f>(D17+D18+D19)</f>
        <v>840.10809451985915</v>
      </c>
    </row>
    <row r="20" spans="2:19">
      <c r="H20" s="8"/>
      <c r="I20" s="108" t="s">
        <v>49</v>
      </c>
      <c r="J20" s="107"/>
      <c r="K20" s="107"/>
      <c r="L20" s="34">
        <f>L17+L18+L19</f>
        <v>5460.7026143790845</v>
      </c>
      <c r="O20" s="8"/>
      <c r="P20" s="108" t="s">
        <v>49</v>
      </c>
      <c r="Q20" s="107"/>
      <c r="R20" s="107"/>
      <c r="S20" s="34">
        <f>S17+S18+S19</f>
        <v>4978.5359477124184</v>
      </c>
    </row>
    <row r="21" spans="2:19">
      <c r="H21" s="8"/>
      <c r="I21" s="116" t="s">
        <v>50</v>
      </c>
      <c r="J21" s="117"/>
      <c r="K21" s="117"/>
      <c r="L21" s="35">
        <f>L20/L4</f>
        <v>5460.7026143790845</v>
      </c>
      <c r="O21" s="8"/>
      <c r="P21" s="116" t="s">
        <v>50</v>
      </c>
      <c r="Q21" s="117"/>
      <c r="R21" s="117"/>
      <c r="S21" s="35">
        <f>S20/S4</f>
        <v>4978.5359477124184</v>
      </c>
    </row>
    <row r="22" spans="2:19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8191.0539215686267</v>
      </c>
      <c r="N22" s="27" t="s">
        <v>51</v>
      </c>
      <c r="O22" s="40">
        <v>150</v>
      </c>
      <c r="P22" s="109" t="s">
        <v>52</v>
      </c>
      <c r="Q22" s="110"/>
      <c r="R22" s="110"/>
      <c r="S22" s="33">
        <f>S21*(O22/100)</f>
        <v>7467.8039215686276</v>
      </c>
    </row>
    <row r="23" spans="2:19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315.04053544494718</v>
      </c>
      <c r="N23" s="38" t="s">
        <v>53</v>
      </c>
      <c r="O23" s="41">
        <v>4</v>
      </c>
      <c r="P23" s="111" t="s">
        <v>54</v>
      </c>
      <c r="Q23" s="112"/>
      <c r="R23" s="112"/>
      <c r="S23" s="39">
        <f>(O23/100)*S22</f>
        <v>298.71215686274513</v>
      </c>
    </row>
    <row r="24" spans="2:19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655.28431372549016</v>
      </c>
      <c r="N24" s="29" t="s">
        <v>55</v>
      </c>
      <c r="O24" s="42">
        <v>8</v>
      </c>
      <c r="P24" s="108" t="s">
        <v>56</v>
      </c>
      <c r="Q24" s="107"/>
      <c r="R24" s="107"/>
      <c r="S24" s="34">
        <f>S22*(O24/100)</f>
        <v>597.42431372549026</v>
      </c>
    </row>
    <row r="25" spans="2:19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1556.3002450980391</v>
      </c>
      <c r="N25" s="28" t="s">
        <v>57</v>
      </c>
      <c r="O25" s="43">
        <v>19</v>
      </c>
      <c r="P25" s="99" t="s">
        <v>58</v>
      </c>
      <c r="Q25" s="100"/>
      <c r="R25" s="100"/>
      <c r="S25" s="36">
        <f>S22*(O25/100)</f>
        <v>1418.8827450980393</v>
      </c>
    </row>
    <row r="26" spans="2:19">
      <c r="H26" s="8"/>
      <c r="I26" s="101" t="s">
        <v>59</v>
      </c>
      <c r="J26" s="102"/>
      <c r="K26" s="102"/>
      <c r="L26" s="37">
        <f>SUM(L22:L25)</f>
        <v>10717.679015837102</v>
      </c>
      <c r="O26" s="8"/>
      <c r="P26" s="101" t="s">
        <v>59</v>
      </c>
      <c r="Q26" s="102"/>
      <c r="R26" s="102"/>
      <c r="S26" s="37">
        <f>SUM(S22:S25)</f>
        <v>9782.8231372549017</v>
      </c>
    </row>
    <row r="29" spans="2:19" ht="16.5">
      <c r="C29" s="20"/>
    </row>
    <row r="30" spans="2:19" ht="16.5">
      <c r="C30" s="20"/>
    </row>
    <row r="31" spans="2:19" ht="16.5">
      <c r="C31" s="20"/>
    </row>
    <row r="32" spans="2:19" ht="16.5">
      <c r="C32" s="20"/>
    </row>
  </sheetData>
  <mergeCells count="63">
    <mergeCell ref="C4:D4"/>
    <mergeCell ref="G4:H4"/>
    <mergeCell ref="I4:J4"/>
    <mergeCell ref="C2:D2"/>
    <mergeCell ref="I2:L2"/>
    <mergeCell ref="C3:D3"/>
    <mergeCell ref="G3:H3"/>
    <mergeCell ref="I3:J3"/>
    <mergeCell ref="C5:D5"/>
    <mergeCell ref="G5:H5"/>
    <mergeCell ref="C6:D6"/>
    <mergeCell ref="G6:H6"/>
    <mergeCell ref="C7:D7"/>
    <mergeCell ref="G7:H7"/>
    <mergeCell ref="B17:B19"/>
    <mergeCell ref="I17:K17"/>
    <mergeCell ref="I18:K18"/>
    <mergeCell ref="I19:K19"/>
    <mergeCell ref="C8:D8"/>
    <mergeCell ref="G8:H8"/>
    <mergeCell ref="G9:H9"/>
    <mergeCell ref="G10:H10"/>
    <mergeCell ref="G11:H11"/>
    <mergeCell ref="C12:D12"/>
    <mergeCell ref="G12:H12"/>
    <mergeCell ref="I25:K25"/>
    <mergeCell ref="G13:H13"/>
    <mergeCell ref="G14:H14"/>
    <mergeCell ref="G15:H15"/>
    <mergeCell ref="G16:H16"/>
    <mergeCell ref="N14:O14"/>
    <mergeCell ref="I26:K26"/>
    <mergeCell ref="P2:S2"/>
    <mergeCell ref="N3:O3"/>
    <mergeCell ref="P3:Q3"/>
    <mergeCell ref="N4:O4"/>
    <mergeCell ref="P4:Q4"/>
    <mergeCell ref="N5:O5"/>
    <mergeCell ref="N6:O6"/>
    <mergeCell ref="N7:O7"/>
    <mergeCell ref="N8:O8"/>
    <mergeCell ref="I20:K20"/>
    <mergeCell ref="I21:K21"/>
    <mergeCell ref="I22:K22"/>
    <mergeCell ref="I23:K23"/>
    <mergeCell ref="I24:K24"/>
    <mergeCell ref="N9:O9"/>
    <mergeCell ref="N10:O10"/>
    <mergeCell ref="N11:O11"/>
    <mergeCell ref="N12:O12"/>
    <mergeCell ref="N13:O13"/>
    <mergeCell ref="P26:R26"/>
    <mergeCell ref="N15:O15"/>
    <mergeCell ref="N16:O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2212-8FCF-4E64-9EC9-9D0BA61D2F07}">
  <dimension ref="A1:L32"/>
  <sheetViews>
    <sheetView showGridLines="0" workbookViewId="0">
      <selection activeCell="O11" sqref="O10:O11"/>
    </sheetView>
  </sheetViews>
  <sheetFormatPr defaultColWidth="11.42578125" defaultRowHeight="15"/>
  <cols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11.140625" customWidth="1"/>
    <col min="7" max="7" width="15.5703125" customWidth="1"/>
    <col min="8" max="8" width="14.7109375" customWidth="1"/>
    <col min="9" max="9" width="14" style="2" customWidth="1"/>
    <col min="10" max="10" width="9" style="2" customWidth="1"/>
    <col min="11" max="11" width="14.42578125" style="2" customWidth="1"/>
    <col min="12" max="12" width="13.28515625" customWidth="1"/>
  </cols>
  <sheetData>
    <row r="1" spans="1:12">
      <c r="A1" t="s">
        <v>130</v>
      </c>
      <c r="F1" s="1"/>
    </row>
    <row r="2" spans="1:12" ht="15" customHeight="1">
      <c r="B2" s="16" t="s">
        <v>0</v>
      </c>
      <c r="C2" s="118" t="s">
        <v>1</v>
      </c>
      <c r="D2" s="119"/>
      <c r="E2" s="12">
        <v>1150000</v>
      </c>
      <c r="F2" s="9"/>
      <c r="G2" s="5" t="s">
        <v>2</v>
      </c>
      <c r="H2" s="5"/>
      <c r="I2" s="90"/>
      <c r="J2" s="91"/>
      <c r="K2" s="91"/>
      <c r="L2" s="92"/>
    </row>
    <row r="3" spans="1:12">
      <c r="B3" s="17" t="s">
        <v>3</v>
      </c>
      <c r="C3" s="118" t="s">
        <v>4</v>
      </c>
      <c r="D3" s="119"/>
      <c r="E3" s="13">
        <v>3000000</v>
      </c>
      <c r="F3" s="10"/>
      <c r="G3" s="93" t="s">
        <v>5</v>
      </c>
      <c r="H3" s="94"/>
      <c r="I3" s="90" t="s">
        <v>161</v>
      </c>
      <c r="J3" s="92"/>
      <c r="K3" s="5" t="s">
        <v>7</v>
      </c>
      <c r="L3" s="30">
        <v>45158</v>
      </c>
    </row>
    <row r="4" spans="1:12" ht="15" customHeight="1">
      <c r="B4" s="17" t="s">
        <v>8</v>
      </c>
      <c r="C4" s="118" t="s">
        <v>9</v>
      </c>
      <c r="D4" s="119"/>
      <c r="E4" s="13">
        <v>1300000</v>
      </c>
      <c r="F4" s="10"/>
      <c r="G4" s="95" t="s">
        <v>10</v>
      </c>
      <c r="H4" s="96"/>
      <c r="I4" s="97"/>
      <c r="J4" s="98"/>
      <c r="K4" s="7" t="s">
        <v>11</v>
      </c>
      <c r="L4" s="4">
        <v>1</v>
      </c>
    </row>
    <row r="5" spans="1:12">
      <c r="B5" s="17" t="s">
        <v>12</v>
      </c>
      <c r="C5" s="118" t="s">
        <v>13</v>
      </c>
      <c r="D5" s="119"/>
      <c r="E5" s="13">
        <v>0</v>
      </c>
      <c r="F5" s="10"/>
      <c r="G5" s="128" t="s">
        <v>14</v>
      </c>
      <c r="H5" s="129"/>
      <c r="I5" s="6" t="s">
        <v>15</v>
      </c>
      <c r="J5" s="6" t="s">
        <v>16</v>
      </c>
      <c r="K5" s="6" t="s">
        <v>17</v>
      </c>
      <c r="L5" s="6" t="s">
        <v>18</v>
      </c>
    </row>
    <row r="6" spans="1:12">
      <c r="B6" s="17" t="s">
        <v>19</v>
      </c>
      <c r="C6" s="118" t="s">
        <v>20</v>
      </c>
      <c r="D6" s="119"/>
      <c r="E6" s="13">
        <v>600000</v>
      </c>
      <c r="F6" s="1"/>
      <c r="G6" s="130" t="s">
        <v>156</v>
      </c>
      <c r="H6" s="130"/>
      <c r="I6" s="48">
        <v>300</v>
      </c>
      <c r="J6" s="46" t="s">
        <v>34</v>
      </c>
      <c r="K6" s="47">
        <v>3700</v>
      </c>
      <c r="L6" s="31">
        <f>(K6/900)*I6</f>
        <v>1233.3333333333333</v>
      </c>
    </row>
    <row r="7" spans="1:12" ht="15.75" customHeight="1">
      <c r="B7" s="18" t="s">
        <v>23</v>
      </c>
      <c r="C7" s="118" t="s">
        <v>24</v>
      </c>
      <c r="D7" s="119"/>
      <c r="E7" s="14">
        <v>1500000</v>
      </c>
      <c r="F7" s="1"/>
      <c r="G7" s="126" t="s">
        <v>99</v>
      </c>
      <c r="H7" s="127"/>
      <c r="I7" s="3">
        <v>70</v>
      </c>
      <c r="J7" s="3" t="s">
        <v>22</v>
      </c>
      <c r="K7" s="31">
        <v>19000</v>
      </c>
      <c r="L7" s="31">
        <f>(K7/1000)*I7</f>
        <v>1330</v>
      </c>
    </row>
    <row r="8" spans="1:12" ht="15" customHeight="1">
      <c r="B8" s="16" t="s">
        <v>26</v>
      </c>
      <c r="C8" s="120" t="s">
        <v>27</v>
      </c>
      <c r="D8" s="121"/>
      <c r="E8" s="21">
        <f>SUM(E2:E7)/26</f>
        <v>290384.61538461538</v>
      </c>
      <c r="F8" s="1"/>
      <c r="G8" s="88" t="s">
        <v>97</v>
      </c>
      <c r="H8" s="89"/>
      <c r="I8" s="3">
        <v>40</v>
      </c>
      <c r="J8" s="3" t="s">
        <v>22</v>
      </c>
      <c r="K8" s="31">
        <v>20000</v>
      </c>
      <c r="L8" s="31">
        <f>(K8/1000)*I8</f>
        <v>800</v>
      </c>
    </row>
    <row r="9" spans="1:12">
      <c r="G9" s="131" t="s">
        <v>102</v>
      </c>
      <c r="H9" s="89"/>
      <c r="I9" s="3">
        <v>12</v>
      </c>
      <c r="J9" s="3" t="s">
        <v>22</v>
      </c>
      <c r="K9" s="31">
        <v>22250</v>
      </c>
      <c r="L9" s="31">
        <f>(K9/650)*I9</f>
        <v>410.76923076923083</v>
      </c>
    </row>
    <row r="10" spans="1:12">
      <c r="F10" s="11"/>
      <c r="G10" s="131"/>
      <c r="H10" s="89"/>
      <c r="I10" s="3"/>
      <c r="J10" s="3"/>
      <c r="K10" s="31"/>
      <c r="L10" s="31">
        <f t="shared" ref="L9:L16" si="0">(K10/170)*I10</f>
        <v>0</v>
      </c>
    </row>
    <row r="11" spans="1:12" ht="15" customHeight="1">
      <c r="B11" s="15" t="s">
        <v>31</v>
      </c>
      <c r="C11" s="19" t="s">
        <v>32</v>
      </c>
      <c r="D11" s="23">
        <v>26</v>
      </c>
      <c r="E11" s="22">
        <f>E8*D11</f>
        <v>7550000</v>
      </c>
      <c r="F11" s="1"/>
      <c r="G11" s="88"/>
      <c r="H11" s="89"/>
      <c r="I11" s="3"/>
      <c r="J11" s="3"/>
      <c r="K11" s="31"/>
      <c r="L11" s="31">
        <f t="shared" si="0"/>
        <v>0</v>
      </c>
    </row>
    <row r="12" spans="1:12" ht="15" customHeight="1">
      <c r="B12" s="16" t="s">
        <v>35</v>
      </c>
      <c r="C12" s="122" t="s">
        <v>36</v>
      </c>
      <c r="D12" s="123"/>
      <c r="E12" s="24"/>
      <c r="G12" s="88"/>
      <c r="H12" s="89"/>
      <c r="I12" s="3"/>
      <c r="J12" s="3"/>
      <c r="K12" s="31"/>
      <c r="L12" s="31">
        <f t="shared" si="0"/>
        <v>0</v>
      </c>
    </row>
    <row r="13" spans="1:12" ht="15" customHeight="1">
      <c r="G13" s="88"/>
      <c r="H13" s="89"/>
      <c r="I13" s="3"/>
      <c r="J13" s="3"/>
      <c r="K13" s="31"/>
      <c r="L13" s="31">
        <f t="shared" si="0"/>
        <v>0</v>
      </c>
    </row>
    <row r="14" spans="1:12" ht="15" customHeight="1">
      <c r="G14" s="88"/>
      <c r="H14" s="89"/>
      <c r="I14" s="3"/>
      <c r="J14" s="3"/>
      <c r="K14" s="31"/>
      <c r="L14" s="31">
        <f t="shared" si="0"/>
        <v>0</v>
      </c>
    </row>
    <row r="15" spans="1:12" ht="15" customHeight="1">
      <c r="G15" s="88"/>
      <c r="H15" s="89"/>
      <c r="I15" s="3"/>
      <c r="J15" s="3"/>
      <c r="K15" s="31"/>
      <c r="L15" s="31">
        <f t="shared" si="0"/>
        <v>0</v>
      </c>
    </row>
    <row r="16" spans="1:12" ht="15" customHeight="1">
      <c r="G16" s="88"/>
      <c r="H16" s="89"/>
      <c r="I16" s="26"/>
      <c r="J16" s="26"/>
      <c r="K16" s="32"/>
      <c r="L16" s="31">
        <f t="shared" si="0"/>
        <v>0</v>
      </c>
    </row>
    <row r="17" spans="2:12">
      <c r="B17" s="113" t="s">
        <v>41</v>
      </c>
      <c r="C17" s="75" t="s">
        <v>42</v>
      </c>
      <c r="D17" s="25">
        <f>L18</f>
        <v>377.41025641025641</v>
      </c>
      <c r="I17" s="103" t="s">
        <v>43</v>
      </c>
      <c r="J17" s="104"/>
      <c r="K17" s="105"/>
      <c r="L17" s="33">
        <f>SUM(L6:L16)</f>
        <v>3774.102564102564</v>
      </c>
    </row>
    <row r="18" spans="2:12">
      <c r="B18" s="114"/>
      <c r="C18" s="75" t="s">
        <v>44</v>
      </c>
      <c r="D18" s="25">
        <f>L17*0.05</f>
        <v>188.7051282051282</v>
      </c>
      <c r="G18" s="27" t="s">
        <v>45</v>
      </c>
      <c r="H18" s="44">
        <v>10</v>
      </c>
      <c r="I18" s="106" t="s">
        <v>46</v>
      </c>
      <c r="J18" s="107"/>
      <c r="K18" s="107"/>
      <c r="L18" s="34">
        <f>L17*(H18/100)</f>
        <v>377.41025641025641</v>
      </c>
    </row>
    <row r="19" spans="2:12">
      <c r="B19" s="115"/>
      <c r="C19" s="75" t="s">
        <v>47</v>
      </c>
      <c r="D19" s="25">
        <f>L17*0.05</f>
        <v>188.7051282051282</v>
      </c>
      <c r="G19" s="28" t="s">
        <v>41</v>
      </c>
      <c r="H19" s="45">
        <v>15</v>
      </c>
      <c r="I19" s="106" t="s">
        <v>48</v>
      </c>
      <c r="J19" s="107"/>
      <c r="K19" s="107"/>
      <c r="L19" s="34">
        <f>(D17+D18+D19)</f>
        <v>754.82051282051282</v>
      </c>
    </row>
    <row r="20" spans="2:12">
      <c r="H20" s="8"/>
      <c r="I20" s="108" t="s">
        <v>49</v>
      </c>
      <c r="J20" s="107"/>
      <c r="K20" s="107"/>
      <c r="L20" s="34">
        <f>L17+L18+L19</f>
        <v>4906.333333333333</v>
      </c>
    </row>
    <row r="21" spans="2:12">
      <c r="H21" s="8"/>
      <c r="I21" s="116" t="s">
        <v>50</v>
      </c>
      <c r="J21" s="117"/>
      <c r="K21" s="117"/>
      <c r="L21" s="35">
        <f>L20/L4</f>
        <v>4906.333333333333</v>
      </c>
    </row>
    <row r="22" spans="2:12"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7359.5</v>
      </c>
    </row>
    <row r="23" spans="2:12">
      <c r="G23" s="38" t="s">
        <v>53</v>
      </c>
      <c r="H23" s="41">
        <f>(E8/E11)*100</f>
        <v>3.8461538461538463</v>
      </c>
      <c r="I23" s="111" t="s">
        <v>54</v>
      </c>
      <c r="J23" s="112"/>
      <c r="K23" s="112"/>
      <c r="L23" s="39">
        <f>(H23/100)*L22</f>
        <v>283.05769230769232</v>
      </c>
    </row>
    <row r="24" spans="2:12"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588.76</v>
      </c>
    </row>
    <row r="25" spans="2:12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1398.3050000000001</v>
      </c>
    </row>
    <row r="26" spans="2:12">
      <c r="H26" s="8"/>
      <c r="I26" s="101" t="s">
        <v>59</v>
      </c>
      <c r="J26" s="102"/>
      <c r="K26" s="102"/>
      <c r="L26" s="37">
        <f>SUM(L22:L25)</f>
        <v>9629.622692307692</v>
      </c>
    </row>
    <row r="29" spans="2:12" ht="16.5">
      <c r="C29" s="20"/>
    </row>
    <row r="30" spans="2:12" ht="16.5">
      <c r="C30" s="20"/>
    </row>
    <row r="31" spans="2:12" ht="16.5">
      <c r="C31" s="20"/>
    </row>
    <row r="32" spans="2:12" ht="16.5">
      <c r="C32" s="20"/>
    </row>
  </sheetData>
  <mergeCells count="36">
    <mergeCell ref="I26:K26"/>
    <mergeCell ref="I23:K23"/>
    <mergeCell ref="I24:K24"/>
    <mergeCell ref="I25:K25"/>
    <mergeCell ref="I20:K20"/>
    <mergeCell ref="I21:K21"/>
    <mergeCell ref="I22:K22"/>
    <mergeCell ref="B17:B19"/>
    <mergeCell ref="I17:K17"/>
    <mergeCell ref="I18:K18"/>
    <mergeCell ref="I19:K19"/>
    <mergeCell ref="G14:H14"/>
    <mergeCell ref="G15:H15"/>
    <mergeCell ref="G16:H16"/>
    <mergeCell ref="G11:H11"/>
    <mergeCell ref="C12:D12"/>
    <mergeCell ref="G12:H12"/>
    <mergeCell ref="G13:H13"/>
    <mergeCell ref="C8:D8"/>
    <mergeCell ref="G8:H8"/>
    <mergeCell ref="G9:H9"/>
    <mergeCell ref="G10:H10"/>
    <mergeCell ref="C6:D6"/>
    <mergeCell ref="G6:H6"/>
    <mergeCell ref="C7:D7"/>
    <mergeCell ref="G7:H7"/>
    <mergeCell ref="C4:D4"/>
    <mergeCell ref="G4:H4"/>
    <mergeCell ref="I4:J4"/>
    <mergeCell ref="C5:D5"/>
    <mergeCell ref="G5:H5"/>
    <mergeCell ref="C2:D2"/>
    <mergeCell ref="I2:L2"/>
    <mergeCell ref="C3:D3"/>
    <mergeCell ref="G3:H3"/>
    <mergeCell ref="I3:J3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521E-2442-44D1-8B17-B5C61795DD3F}">
  <dimension ref="B1:AG37"/>
  <sheetViews>
    <sheetView showGridLines="0" tabSelected="1" topLeftCell="C1" workbookViewId="0">
      <selection activeCell="L5" sqref="L5"/>
    </sheetView>
  </sheetViews>
  <sheetFormatPr defaultColWidth="11.42578125" defaultRowHeight="15"/>
  <cols>
    <col min="1" max="1" width="4.28515625" customWidth="1"/>
    <col min="2" max="2" width="20.5703125" customWidth="1"/>
    <col min="3" max="3" width="37.7109375" customWidth="1"/>
    <col min="4" max="4" width="12.140625" customWidth="1"/>
    <col min="5" max="5" width="17.7109375" customWidth="1"/>
    <col min="6" max="6" width="5.42578125" customWidth="1"/>
    <col min="7" max="8" width="18.42578125" customWidth="1"/>
    <col min="13" max="13" width="5.42578125" customWidth="1"/>
    <col min="14" max="15" width="18.42578125" customWidth="1"/>
    <col min="16" max="19" width="12.140625" customWidth="1"/>
    <col min="20" max="20" width="3.5703125" customWidth="1"/>
    <col min="21" max="22" width="18.42578125" customWidth="1"/>
    <col min="23" max="26" width="12.140625" customWidth="1"/>
    <col min="27" max="27" width="6" customWidth="1"/>
    <col min="28" max="29" width="18.42578125" customWidth="1"/>
    <col min="30" max="33" width="12.140625" customWidth="1"/>
  </cols>
  <sheetData>
    <row r="1" spans="2:33">
      <c r="F1" s="1"/>
    </row>
    <row r="2" spans="2:33">
      <c r="B2" s="166" t="s">
        <v>162</v>
      </c>
      <c r="C2" s="164" t="s">
        <v>163</v>
      </c>
      <c r="D2" s="165"/>
      <c r="E2" s="71">
        <v>26000</v>
      </c>
      <c r="F2" s="9"/>
      <c r="G2" s="155" t="s">
        <v>164</v>
      </c>
      <c r="H2" s="156"/>
      <c r="I2" s="88" t="s">
        <v>165</v>
      </c>
      <c r="J2" s="162"/>
      <c r="K2" s="162"/>
      <c r="L2" s="89"/>
      <c r="N2" s="155" t="s">
        <v>164</v>
      </c>
      <c r="O2" s="156"/>
      <c r="P2" s="88" t="s">
        <v>166</v>
      </c>
      <c r="Q2" s="162"/>
      <c r="R2" s="162"/>
      <c r="S2" s="89"/>
      <c r="U2" s="155" t="s">
        <v>164</v>
      </c>
      <c r="V2" s="156"/>
      <c r="W2" s="88" t="s">
        <v>167</v>
      </c>
      <c r="X2" s="162"/>
      <c r="Y2" s="162"/>
      <c r="Z2" s="89"/>
      <c r="AB2" s="155" t="s">
        <v>164</v>
      </c>
      <c r="AC2" s="156"/>
      <c r="AD2" s="157" t="s">
        <v>168</v>
      </c>
      <c r="AE2" s="158"/>
      <c r="AF2" s="158"/>
      <c r="AG2" s="159"/>
    </row>
    <row r="3" spans="2:33">
      <c r="B3" s="167"/>
      <c r="C3" s="118" t="s">
        <v>169</v>
      </c>
      <c r="D3" s="119"/>
      <c r="E3" s="72">
        <v>15000</v>
      </c>
      <c r="F3" s="10"/>
      <c r="G3" s="77" t="s">
        <v>5</v>
      </c>
      <c r="H3" s="65"/>
      <c r="I3" s="88" t="s">
        <v>170</v>
      </c>
      <c r="J3" s="163"/>
      <c r="K3" s="5" t="s">
        <v>7</v>
      </c>
      <c r="L3" s="30"/>
      <c r="N3" s="77" t="s">
        <v>5</v>
      </c>
      <c r="O3" s="65"/>
      <c r="P3" s="88" t="s">
        <v>170</v>
      </c>
      <c r="Q3" s="163"/>
      <c r="R3" s="5" t="s">
        <v>7</v>
      </c>
      <c r="S3" s="30"/>
      <c r="U3" s="77" t="s">
        <v>5</v>
      </c>
      <c r="V3" s="65"/>
      <c r="W3" s="88" t="s">
        <v>170</v>
      </c>
      <c r="X3" s="163"/>
      <c r="Y3" s="5" t="s">
        <v>7</v>
      </c>
      <c r="Z3" s="30"/>
      <c r="AB3" s="77" t="s">
        <v>5</v>
      </c>
      <c r="AC3" s="65"/>
      <c r="AD3" s="126" t="s">
        <v>170</v>
      </c>
      <c r="AE3" s="142"/>
      <c r="AF3" s="80" t="s">
        <v>7</v>
      </c>
      <c r="AG3" s="81"/>
    </row>
    <row r="4" spans="2:33">
      <c r="B4" s="167"/>
      <c r="C4" s="118" t="s">
        <v>171</v>
      </c>
      <c r="D4" s="119"/>
      <c r="E4" s="72">
        <v>12000</v>
      </c>
      <c r="F4" s="10"/>
      <c r="G4" s="78" t="s">
        <v>10</v>
      </c>
      <c r="H4" s="64"/>
      <c r="I4" s="68" t="s">
        <v>172</v>
      </c>
      <c r="J4" s="69">
        <v>150</v>
      </c>
      <c r="K4" s="66" t="s">
        <v>11</v>
      </c>
      <c r="L4" s="4">
        <v>5</v>
      </c>
      <c r="N4" s="78" t="s">
        <v>10</v>
      </c>
      <c r="O4" s="64"/>
      <c r="P4" s="68" t="s">
        <v>172</v>
      </c>
      <c r="Q4" s="69">
        <v>125</v>
      </c>
      <c r="R4" s="66" t="s">
        <v>11</v>
      </c>
      <c r="S4" s="4">
        <v>2</v>
      </c>
      <c r="U4" s="78" t="s">
        <v>10</v>
      </c>
      <c r="V4" s="64"/>
      <c r="W4" s="68" t="s">
        <v>172</v>
      </c>
      <c r="X4" s="69">
        <v>125</v>
      </c>
      <c r="Y4" s="66" t="s">
        <v>11</v>
      </c>
      <c r="Z4" s="4">
        <v>4</v>
      </c>
      <c r="AB4" s="78" t="s">
        <v>10</v>
      </c>
      <c r="AC4" s="64"/>
      <c r="AD4" s="68" t="s">
        <v>172</v>
      </c>
      <c r="AE4" s="69">
        <v>125</v>
      </c>
      <c r="AF4" s="66" t="s">
        <v>11</v>
      </c>
      <c r="AG4" s="4">
        <v>4</v>
      </c>
    </row>
    <row r="5" spans="2:33">
      <c r="B5" s="167"/>
      <c r="C5" s="118" t="s">
        <v>173</v>
      </c>
      <c r="D5" s="119"/>
      <c r="E5" s="72">
        <v>90000</v>
      </c>
      <c r="F5" s="10"/>
      <c r="G5" s="160" t="s">
        <v>14</v>
      </c>
      <c r="H5" s="161"/>
      <c r="I5" s="6" t="s">
        <v>15</v>
      </c>
      <c r="J5" s="67" t="s">
        <v>16</v>
      </c>
      <c r="K5" s="6" t="s">
        <v>17</v>
      </c>
      <c r="L5" s="6" t="s">
        <v>18</v>
      </c>
      <c r="N5" s="160" t="s">
        <v>14</v>
      </c>
      <c r="O5" s="161"/>
      <c r="P5" s="6" t="s">
        <v>15</v>
      </c>
      <c r="Q5" s="67" t="s">
        <v>16</v>
      </c>
      <c r="R5" s="6" t="s">
        <v>17</v>
      </c>
      <c r="S5" s="6" t="s">
        <v>18</v>
      </c>
      <c r="U5" s="160" t="s">
        <v>14</v>
      </c>
      <c r="V5" s="161"/>
      <c r="W5" s="6" t="s">
        <v>15</v>
      </c>
      <c r="X5" s="67" t="s">
        <v>16</v>
      </c>
      <c r="Y5" s="6" t="s">
        <v>17</v>
      </c>
      <c r="Z5" s="6" t="s">
        <v>18</v>
      </c>
      <c r="AB5" s="160" t="s">
        <v>14</v>
      </c>
      <c r="AC5" s="161"/>
      <c r="AD5" s="6" t="s">
        <v>15</v>
      </c>
      <c r="AE5" s="67" t="s">
        <v>16</v>
      </c>
      <c r="AF5" s="6" t="s">
        <v>17</v>
      </c>
      <c r="AG5" s="6" t="s">
        <v>18</v>
      </c>
    </row>
    <row r="6" spans="2:33">
      <c r="B6" s="167"/>
      <c r="C6" s="118" t="s">
        <v>174</v>
      </c>
      <c r="D6" s="119"/>
      <c r="E6" s="72">
        <v>50000</v>
      </c>
      <c r="F6" s="10"/>
      <c r="G6" s="153" t="s">
        <v>175</v>
      </c>
      <c r="H6" s="154"/>
      <c r="I6" s="48">
        <v>673</v>
      </c>
      <c r="J6" s="79" t="s">
        <v>22</v>
      </c>
      <c r="K6" s="47">
        <v>26000</v>
      </c>
      <c r="L6" s="31">
        <f>(K6/1000)*I6</f>
        <v>17498</v>
      </c>
      <c r="N6" s="153" t="s">
        <v>175</v>
      </c>
      <c r="O6" s="154"/>
      <c r="P6" s="48">
        <v>250</v>
      </c>
      <c r="Q6" s="79" t="s">
        <v>22</v>
      </c>
      <c r="R6" s="47">
        <v>26000</v>
      </c>
      <c r="S6" s="31">
        <f>(R6/1000)*P6</f>
        <v>6500</v>
      </c>
      <c r="U6" s="153" t="s">
        <v>175</v>
      </c>
      <c r="V6" s="154"/>
      <c r="W6" s="48">
        <v>500</v>
      </c>
      <c r="X6" s="79" t="s">
        <v>22</v>
      </c>
      <c r="Y6" s="47">
        <v>26000</v>
      </c>
      <c r="Z6" s="31">
        <f>(Y6/1000)*W6</f>
        <v>13000</v>
      </c>
      <c r="AB6" s="153" t="s">
        <v>175</v>
      </c>
      <c r="AC6" s="154"/>
      <c r="AD6" s="48">
        <v>500</v>
      </c>
      <c r="AE6" s="79" t="s">
        <v>22</v>
      </c>
      <c r="AF6" s="47">
        <v>26000</v>
      </c>
      <c r="AG6" s="31">
        <f>(AF6/1000)*AD6</f>
        <v>13000</v>
      </c>
    </row>
    <row r="7" spans="2:33">
      <c r="B7" s="167"/>
      <c r="C7" s="118" t="s">
        <v>160</v>
      </c>
      <c r="D7" s="119"/>
      <c r="E7" s="73">
        <v>17000</v>
      </c>
      <c r="F7" s="10"/>
      <c r="G7" s="153" t="s">
        <v>169</v>
      </c>
      <c r="H7" s="154"/>
      <c r="I7" s="3">
        <v>150</v>
      </c>
      <c r="J7" s="62" t="s">
        <v>22</v>
      </c>
      <c r="K7" s="31">
        <v>15000</v>
      </c>
      <c r="L7" s="31">
        <f>(K7/1000)*I7</f>
        <v>2250</v>
      </c>
      <c r="N7" s="153" t="s">
        <v>176</v>
      </c>
      <c r="O7" s="154"/>
      <c r="P7" s="3">
        <v>30</v>
      </c>
      <c r="Q7" s="62" t="s">
        <v>22</v>
      </c>
      <c r="R7" s="31">
        <v>34000</v>
      </c>
      <c r="S7" s="31">
        <f>(R7/1000)*P7</f>
        <v>1020</v>
      </c>
      <c r="U7" s="153" t="s">
        <v>177</v>
      </c>
      <c r="V7" s="154"/>
      <c r="W7" s="3">
        <v>4</v>
      </c>
      <c r="X7" s="62" t="s">
        <v>22</v>
      </c>
      <c r="Y7" s="31">
        <v>75000</v>
      </c>
      <c r="Z7" s="31">
        <f>(Y7/1000)*W7</f>
        <v>300</v>
      </c>
      <c r="AB7" s="153" t="s">
        <v>178</v>
      </c>
      <c r="AC7" s="154"/>
      <c r="AD7" s="3">
        <v>10</v>
      </c>
      <c r="AE7" s="62" t="s">
        <v>22</v>
      </c>
      <c r="AF7" s="31">
        <v>32000</v>
      </c>
      <c r="AG7" s="31">
        <f>(AF7/1000)*AD7</f>
        <v>320</v>
      </c>
    </row>
    <row r="8" spans="2:33">
      <c r="B8" s="167"/>
      <c r="C8" s="75" t="s">
        <v>64</v>
      </c>
      <c r="D8" s="76"/>
      <c r="E8" s="72">
        <v>10000</v>
      </c>
      <c r="F8" s="10"/>
      <c r="G8" s="153" t="s">
        <v>64</v>
      </c>
      <c r="H8" s="154"/>
      <c r="I8" s="3">
        <v>100</v>
      </c>
      <c r="J8" s="62" t="s">
        <v>22</v>
      </c>
      <c r="K8" s="31">
        <v>10000</v>
      </c>
      <c r="L8" s="31">
        <f t="shared" ref="L8:L16" si="0">(K8/1000)*I8</f>
        <v>1000</v>
      </c>
      <c r="N8" s="153" t="s">
        <v>179</v>
      </c>
      <c r="O8" s="154"/>
      <c r="P8" s="3">
        <v>45</v>
      </c>
      <c r="Q8" s="62" t="s">
        <v>34</v>
      </c>
      <c r="R8" s="31">
        <v>85000</v>
      </c>
      <c r="S8" s="31">
        <f t="shared" ref="S8:S9" si="1">(R8/1000)*P8</f>
        <v>3825</v>
      </c>
      <c r="U8" s="153" t="s">
        <v>180</v>
      </c>
      <c r="V8" s="154"/>
      <c r="W8" s="3">
        <v>4</v>
      </c>
      <c r="X8" s="62" t="s">
        <v>22</v>
      </c>
      <c r="Y8" s="31">
        <v>48000</v>
      </c>
      <c r="Z8" s="31">
        <f t="shared" ref="Z8:Z13" si="2">(Y8/1000)*W8</f>
        <v>192</v>
      </c>
      <c r="AB8" s="153" t="s">
        <v>181</v>
      </c>
      <c r="AC8" s="154"/>
      <c r="AD8" s="3">
        <v>5</v>
      </c>
      <c r="AE8" s="62" t="s">
        <v>22</v>
      </c>
      <c r="AF8" s="31">
        <v>9000</v>
      </c>
      <c r="AG8" s="31">
        <f t="shared" ref="AG8:AG13" si="3">(AF8/1000)*AD8</f>
        <v>45</v>
      </c>
    </row>
    <row r="9" spans="2:33">
      <c r="B9" s="167"/>
      <c r="C9" s="75" t="s">
        <v>176</v>
      </c>
      <c r="D9" s="76"/>
      <c r="E9" s="72">
        <v>34000</v>
      </c>
      <c r="F9" s="10"/>
      <c r="G9" s="153" t="s">
        <v>182</v>
      </c>
      <c r="H9" s="154"/>
      <c r="I9" s="3">
        <v>15</v>
      </c>
      <c r="J9" s="62" t="s">
        <v>22</v>
      </c>
      <c r="K9" s="31">
        <v>24000</v>
      </c>
      <c r="L9" s="31">
        <f t="shared" si="0"/>
        <v>360</v>
      </c>
      <c r="N9" s="153" t="s">
        <v>183</v>
      </c>
      <c r="O9" s="154"/>
      <c r="P9" s="3">
        <v>7</v>
      </c>
      <c r="Q9" s="62" t="s">
        <v>22</v>
      </c>
      <c r="R9" s="31">
        <v>17000</v>
      </c>
      <c r="S9" s="31">
        <f t="shared" si="1"/>
        <v>119</v>
      </c>
      <c r="U9" s="153" t="s">
        <v>184</v>
      </c>
      <c r="V9" s="154"/>
      <c r="W9" s="3">
        <v>15</v>
      </c>
      <c r="X9" s="62" t="s">
        <v>22</v>
      </c>
      <c r="Y9" s="31">
        <v>11000</v>
      </c>
      <c r="Z9" s="31">
        <f t="shared" si="2"/>
        <v>165</v>
      </c>
      <c r="AB9" s="153" t="s">
        <v>185</v>
      </c>
      <c r="AC9" s="154"/>
      <c r="AD9" s="3">
        <v>5</v>
      </c>
      <c r="AE9" s="62" t="s">
        <v>22</v>
      </c>
      <c r="AF9" s="31">
        <v>32000</v>
      </c>
      <c r="AG9" s="31">
        <f t="shared" si="3"/>
        <v>160</v>
      </c>
    </row>
    <row r="10" spans="2:33">
      <c r="B10" s="167"/>
      <c r="C10" s="75" t="s">
        <v>179</v>
      </c>
      <c r="D10" s="76"/>
      <c r="E10" s="72">
        <v>85000</v>
      </c>
      <c r="F10" s="10"/>
      <c r="G10" s="153" t="s">
        <v>186</v>
      </c>
      <c r="H10" s="154"/>
      <c r="I10" s="3">
        <v>1</v>
      </c>
      <c r="J10" s="62" t="s">
        <v>187</v>
      </c>
      <c r="K10" s="31">
        <v>1000</v>
      </c>
      <c r="L10" s="31">
        <f>K10</f>
        <v>1000</v>
      </c>
      <c r="N10" s="153" t="s">
        <v>188</v>
      </c>
      <c r="O10" s="154"/>
      <c r="P10" s="3">
        <v>5</v>
      </c>
      <c r="Q10" s="62" t="s">
        <v>22</v>
      </c>
      <c r="R10" s="31">
        <v>90000</v>
      </c>
      <c r="S10" s="31">
        <f t="shared" ref="S10:S12" si="4">(R10/1000)*P10</f>
        <v>450</v>
      </c>
      <c r="U10" s="153" t="s">
        <v>189</v>
      </c>
      <c r="V10" s="154"/>
      <c r="W10" s="3">
        <v>15</v>
      </c>
      <c r="X10" s="62" t="s">
        <v>22</v>
      </c>
      <c r="Y10" s="31">
        <v>12000</v>
      </c>
      <c r="Z10" s="31">
        <f t="shared" si="2"/>
        <v>180</v>
      </c>
      <c r="AB10" s="153" t="s">
        <v>190</v>
      </c>
      <c r="AC10" s="154"/>
      <c r="AD10" s="3">
        <v>50</v>
      </c>
      <c r="AE10" s="62" t="s">
        <v>22</v>
      </c>
      <c r="AF10" s="31">
        <v>8000</v>
      </c>
      <c r="AG10" s="31">
        <f t="shared" si="3"/>
        <v>400</v>
      </c>
    </row>
    <row r="11" spans="2:33">
      <c r="B11" s="167"/>
      <c r="C11" s="118" t="s">
        <v>191</v>
      </c>
      <c r="D11" s="119"/>
      <c r="E11" s="72">
        <v>24000</v>
      </c>
      <c r="F11" s="10"/>
      <c r="G11" s="153" t="s">
        <v>192</v>
      </c>
      <c r="H11" s="154"/>
      <c r="I11" s="3">
        <v>1</v>
      </c>
      <c r="J11" s="62" t="s">
        <v>187</v>
      </c>
      <c r="K11" s="31">
        <v>50</v>
      </c>
      <c r="L11" s="31">
        <f>K11</f>
        <v>50</v>
      </c>
      <c r="N11" s="153" t="s">
        <v>193</v>
      </c>
      <c r="O11" s="154"/>
      <c r="P11" s="3">
        <v>4</v>
      </c>
      <c r="Q11" s="62" t="s">
        <v>22</v>
      </c>
      <c r="R11" s="31">
        <v>50000</v>
      </c>
      <c r="S11" s="31">
        <f t="shared" si="4"/>
        <v>200</v>
      </c>
      <c r="U11" s="153"/>
      <c r="V11" s="154"/>
      <c r="W11" s="3"/>
      <c r="X11" s="62"/>
      <c r="Y11" s="31"/>
      <c r="Z11" s="31">
        <f t="shared" si="2"/>
        <v>0</v>
      </c>
      <c r="AB11" s="153"/>
      <c r="AC11" s="154"/>
      <c r="AD11" s="3"/>
      <c r="AE11" s="62" t="s">
        <v>22</v>
      </c>
      <c r="AF11" s="31"/>
      <c r="AG11" s="31">
        <f t="shared" si="3"/>
        <v>0</v>
      </c>
    </row>
    <row r="12" spans="2:33">
      <c r="B12" s="167"/>
      <c r="C12" s="75" t="s">
        <v>194</v>
      </c>
      <c r="D12" s="76"/>
      <c r="E12" s="72">
        <v>75000</v>
      </c>
      <c r="F12" s="10"/>
      <c r="G12" s="153"/>
      <c r="H12" s="154"/>
      <c r="I12" s="3"/>
      <c r="J12" s="62"/>
      <c r="K12" s="31"/>
      <c r="L12" s="31">
        <f t="shared" si="0"/>
        <v>0</v>
      </c>
      <c r="N12" s="153" t="s">
        <v>195</v>
      </c>
      <c r="O12" s="154"/>
      <c r="P12" s="3">
        <v>10</v>
      </c>
      <c r="Q12" s="62" t="s">
        <v>34</v>
      </c>
      <c r="R12" s="31">
        <v>50000</v>
      </c>
      <c r="S12" s="31">
        <f t="shared" si="4"/>
        <v>500</v>
      </c>
      <c r="U12" s="153"/>
      <c r="V12" s="154"/>
      <c r="W12" s="3"/>
      <c r="X12" s="62"/>
      <c r="Y12" s="31"/>
      <c r="Z12" s="31">
        <f t="shared" si="2"/>
        <v>0</v>
      </c>
      <c r="AB12" s="153"/>
      <c r="AC12" s="154"/>
      <c r="AD12" s="3"/>
      <c r="AE12" s="62" t="s">
        <v>34</v>
      </c>
      <c r="AF12" s="31"/>
      <c r="AG12" s="31">
        <f t="shared" si="3"/>
        <v>0</v>
      </c>
    </row>
    <row r="13" spans="2:33">
      <c r="B13" s="167"/>
      <c r="C13" s="75" t="s">
        <v>196</v>
      </c>
      <c r="D13" s="76"/>
      <c r="E13" s="72">
        <v>48000</v>
      </c>
      <c r="F13" s="10"/>
      <c r="G13" s="153"/>
      <c r="H13" s="154"/>
      <c r="I13" s="3"/>
      <c r="J13" s="62"/>
      <c r="K13" s="31"/>
      <c r="L13" s="31">
        <f t="shared" si="0"/>
        <v>0</v>
      </c>
      <c r="N13" s="153" t="s">
        <v>197</v>
      </c>
      <c r="O13" s="154"/>
      <c r="P13" s="3">
        <v>5</v>
      </c>
      <c r="Q13" s="62" t="s">
        <v>22</v>
      </c>
      <c r="R13" s="31">
        <v>20000</v>
      </c>
      <c r="S13" s="31">
        <f t="shared" ref="S12:S16" si="5">(R13/1000)*P13</f>
        <v>100</v>
      </c>
      <c r="U13" s="153"/>
      <c r="V13" s="154"/>
      <c r="W13" s="3"/>
      <c r="X13" s="62"/>
      <c r="Y13" s="31"/>
      <c r="Z13" s="31">
        <f t="shared" si="2"/>
        <v>0</v>
      </c>
      <c r="AB13" s="153"/>
      <c r="AC13" s="154"/>
      <c r="AD13" s="3"/>
      <c r="AE13" s="62" t="s">
        <v>22</v>
      </c>
      <c r="AF13" s="31"/>
      <c r="AG13" s="31">
        <f t="shared" si="3"/>
        <v>0</v>
      </c>
    </row>
    <row r="14" spans="2:33">
      <c r="B14" s="167"/>
      <c r="C14" s="75" t="s">
        <v>178</v>
      </c>
      <c r="D14" s="76"/>
      <c r="E14" s="72">
        <v>32000</v>
      </c>
      <c r="F14" s="10"/>
      <c r="G14" s="153"/>
      <c r="H14" s="154"/>
      <c r="I14" s="3"/>
      <c r="J14" s="62"/>
      <c r="K14" s="31"/>
      <c r="L14" s="31">
        <f t="shared" si="0"/>
        <v>0</v>
      </c>
      <c r="N14" s="153" t="s">
        <v>186</v>
      </c>
      <c r="O14" s="154"/>
      <c r="P14" s="3">
        <v>1</v>
      </c>
      <c r="Q14" s="62" t="s">
        <v>187</v>
      </c>
      <c r="R14" s="31">
        <v>1000</v>
      </c>
      <c r="S14" s="31">
        <f>R14</f>
        <v>1000</v>
      </c>
      <c r="U14" s="153" t="s">
        <v>186</v>
      </c>
      <c r="V14" s="154"/>
      <c r="W14" s="3">
        <v>1</v>
      </c>
      <c r="X14" s="62" t="s">
        <v>187</v>
      </c>
      <c r="Y14" s="31">
        <v>1000</v>
      </c>
      <c r="Z14" s="31">
        <f>Y14</f>
        <v>1000</v>
      </c>
      <c r="AB14" s="153" t="s">
        <v>186</v>
      </c>
      <c r="AC14" s="154"/>
      <c r="AD14" s="3">
        <v>1</v>
      </c>
      <c r="AE14" s="62" t="s">
        <v>187</v>
      </c>
      <c r="AF14" s="31">
        <v>1000</v>
      </c>
      <c r="AG14" s="31">
        <f>AF14</f>
        <v>1000</v>
      </c>
    </row>
    <row r="15" spans="2:33">
      <c r="B15" s="167"/>
      <c r="C15" s="75" t="s">
        <v>198</v>
      </c>
      <c r="D15" s="76"/>
      <c r="E15" s="72">
        <v>32000</v>
      </c>
      <c r="F15" s="10"/>
      <c r="G15" s="153"/>
      <c r="H15" s="154"/>
      <c r="I15" s="3"/>
      <c r="J15" s="62"/>
      <c r="K15" s="31"/>
      <c r="L15" s="31">
        <f t="shared" si="0"/>
        <v>0</v>
      </c>
      <c r="N15" s="153" t="s">
        <v>192</v>
      </c>
      <c r="O15" s="154"/>
      <c r="P15" s="3">
        <v>1</v>
      </c>
      <c r="Q15" s="62" t="s">
        <v>187</v>
      </c>
      <c r="R15" s="31">
        <v>50</v>
      </c>
      <c r="S15" s="31">
        <f>R15</f>
        <v>50</v>
      </c>
      <c r="U15" s="153" t="s">
        <v>192</v>
      </c>
      <c r="V15" s="154"/>
      <c r="W15" s="3">
        <v>1</v>
      </c>
      <c r="X15" s="62" t="s">
        <v>187</v>
      </c>
      <c r="Y15" s="31">
        <v>50</v>
      </c>
      <c r="Z15" s="31">
        <f>Y15</f>
        <v>50</v>
      </c>
      <c r="AB15" s="153" t="s">
        <v>192</v>
      </c>
      <c r="AC15" s="154"/>
      <c r="AD15" s="3">
        <v>1</v>
      </c>
      <c r="AE15" s="62" t="s">
        <v>187</v>
      </c>
      <c r="AF15" s="31">
        <v>50</v>
      </c>
      <c r="AG15" s="31">
        <f>AF15</f>
        <v>50</v>
      </c>
    </row>
    <row r="16" spans="2:33">
      <c r="B16" s="167"/>
      <c r="C16" s="75" t="s">
        <v>195</v>
      </c>
      <c r="D16" s="76"/>
      <c r="E16" s="72">
        <v>50000</v>
      </c>
      <c r="F16" s="10"/>
      <c r="G16" s="153"/>
      <c r="H16" s="154"/>
      <c r="I16" s="26"/>
      <c r="J16" s="63"/>
      <c r="K16" s="32"/>
      <c r="L16" s="31">
        <f t="shared" si="0"/>
        <v>0</v>
      </c>
      <c r="N16" s="153"/>
      <c r="O16" s="154"/>
      <c r="P16" s="26"/>
      <c r="Q16" s="63"/>
      <c r="R16" s="32"/>
      <c r="S16" s="31">
        <f t="shared" si="5"/>
        <v>0</v>
      </c>
      <c r="U16" s="153"/>
      <c r="V16" s="154"/>
      <c r="W16" s="26"/>
      <c r="X16" s="63"/>
      <c r="Y16" s="32"/>
      <c r="Z16" s="31">
        <f t="shared" ref="Z16:Z20" si="6">(Y16/1000)*W16</f>
        <v>0</v>
      </c>
      <c r="AB16" s="153"/>
      <c r="AC16" s="154"/>
      <c r="AD16" s="26"/>
      <c r="AE16" s="63"/>
      <c r="AF16" s="32"/>
      <c r="AG16" s="31">
        <f t="shared" ref="AG16:AG20" si="7">(AF16/1000)*AD16</f>
        <v>0</v>
      </c>
    </row>
    <row r="17" spans="2:33">
      <c r="B17" s="167"/>
      <c r="C17" s="75" t="s">
        <v>199</v>
      </c>
      <c r="D17" s="76"/>
      <c r="E17" s="72">
        <v>11000</v>
      </c>
      <c r="F17" s="10"/>
      <c r="I17" s="103" t="s">
        <v>43</v>
      </c>
      <c r="J17" s="104"/>
      <c r="K17" s="105"/>
      <c r="L17" s="33">
        <f>SUM(L6:L16)</f>
        <v>22158</v>
      </c>
      <c r="P17" s="103" t="s">
        <v>43</v>
      </c>
      <c r="Q17" s="104"/>
      <c r="R17" s="105"/>
      <c r="S17" s="33">
        <f>SUM(S6:S16)</f>
        <v>13764</v>
      </c>
      <c r="W17" s="103" t="s">
        <v>43</v>
      </c>
      <c r="X17" s="104"/>
      <c r="Y17" s="105"/>
      <c r="Z17" s="33">
        <f>SUM(Z6:Z16)</f>
        <v>14887</v>
      </c>
      <c r="AD17" s="103" t="s">
        <v>43</v>
      </c>
      <c r="AE17" s="104"/>
      <c r="AF17" s="104"/>
      <c r="AG17" s="82">
        <f>SUM(AG6:AG16)</f>
        <v>14975</v>
      </c>
    </row>
    <row r="18" spans="2:33">
      <c r="B18" s="167"/>
      <c r="C18" s="75" t="s">
        <v>200</v>
      </c>
      <c r="D18" s="76"/>
      <c r="E18" s="72">
        <v>20000</v>
      </c>
      <c r="F18" s="10"/>
      <c r="G18" s="27" t="s">
        <v>45</v>
      </c>
      <c r="H18" s="44">
        <v>15</v>
      </c>
      <c r="I18" s="106" t="s">
        <v>201</v>
      </c>
      <c r="J18" s="107"/>
      <c r="K18" s="107"/>
      <c r="L18" s="34">
        <f>L17*(H18/100)</f>
        <v>3323.7</v>
      </c>
      <c r="N18" s="27" t="s">
        <v>45</v>
      </c>
      <c r="O18" s="44">
        <v>15</v>
      </c>
      <c r="P18" s="106" t="s">
        <v>201</v>
      </c>
      <c r="Q18" s="107"/>
      <c r="R18" s="107"/>
      <c r="S18" s="34">
        <f>S17*(O18/100)</f>
        <v>2064.6</v>
      </c>
      <c r="U18" s="27" t="s">
        <v>45</v>
      </c>
      <c r="V18" s="44">
        <v>15</v>
      </c>
      <c r="W18" s="106" t="s">
        <v>201</v>
      </c>
      <c r="X18" s="107"/>
      <c r="Y18" s="107"/>
      <c r="Z18" s="34">
        <f>Z17*(V18/100)</f>
        <v>2233.0499999999997</v>
      </c>
      <c r="AB18" s="27" t="s">
        <v>45</v>
      </c>
      <c r="AC18" s="44">
        <v>15</v>
      </c>
      <c r="AD18" s="106" t="s">
        <v>201</v>
      </c>
      <c r="AE18" s="107"/>
      <c r="AF18" s="149"/>
      <c r="AG18" s="83">
        <f>AG17*(AC18/100)</f>
        <v>2246.25</v>
      </c>
    </row>
    <row r="19" spans="2:33">
      <c r="B19" s="167"/>
      <c r="C19" s="75" t="s">
        <v>202</v>
      </c>
      <c r="D19" s="76"/>
      <c r="E19" s="72">
        <v>5000</v>
      </c>
      <c r="F19" s="10"/>
      <c r="G19" s="28" t="s">
        <v>41</v>
      </c>
      <c r="H19" s="45">
        <v>40</v>
      </c>
      <c r="I19" s="106" t="s">
        <v>203</v>
      </c>
      <c r="J19" s="107"/>
      <c r="K19" s="107"/>
      <c r="L19" s="34">
        <f>L17*(H19/100)</f>
        <v>8863.2000000000007</v>
      </c>
      <c r="N19" s="28" t="s">
        <v>41</v>
      </c>
      <c r="O19" s="45">
        <v>40</v>
      </c>
      <c r="P19" s="106" t="s">
        <v>203</v>
      </c>
      <c r="Q19" s="107"/>
      <c r="R19" s="107"/>
      <c r="S19" s="34">
        <f>S17*(O19/100)</f>
        <v>5505.6</v>
      </c>
      <c r="U19" s="28" t="s">
        <v>41</v>
      </c>
      <c r="V19" s="45">
        <v>40</v>
      </c>
      <c r="W19" s="106" t="s">
        <v>203</v>
      </c>
      <c r="X19" s="107"/>
      <c r="Y19" s="107"/>
      <c r="Z19" s="34">
        <f>Z17*(V19/100)</f>
        <v>5954.8</v>
      </c>
      <c r="AB19" s="28" t="s">
        <v>41</v>
      </c>
      <c r="AC19" s="45">
        <v>40</v>
      </c>
      <c r="AD19" s="106" t="s">
        <v>203</v>
      </c>
      <c r="AE19" s="107"/>
      <c r="AF19" s="149"/>
      <c r="AG19" s="83">
        <f>AG17*(AC19/100)</f>
        <v>5990</v>
      </c>
    </row>
    <row r="20" spans="2:33">
      <c r="B20" s="168"/>
      <c r="C20" s="169" t="s">
        <v>204</v>
      </c>
      <c r="D20" s="170"/>
      <c r="E20" s="74">
        <v>9000</v>
      </c>
      <c r="F20" s="1"/>
      <c r="H20" s="8"/>
      <c r="I20" s="108" t="s">
        <v>49</v>
      </c>
      <c r="J20" s="107"/>
      <c r="K20" s="107"/>
      <c r="L20" s="34">
        <f>L17+L18+L19</f>
        <v>34344.9</v>
      </c>
      <c r="O20" s="8"/>
      <c r="P20" s="108" t="s">
        <v>49</v>
      </c>
      <c r="Q20" s="107"/>
      <c r="R20" s="107"/>
      <c r="S20" s="34">
        <f>S17+S18+S19</f>
        <v>21334.2</v>
      </c>
      <c r="V20" s="8"/>
      <c r="W20" s="108" t="s">
        <v>49</v>
      </c>
      <c r="X20" s="107"/>
      <c r="Y20" s="107"/>
      <c r="Z20" s="34">
        <f>Z17+Z18+Z19</f>
        <v>23074.85</v>
      </c>
      <c r="AC20" s="8"/>
      <c r="AD20" s="108" t="s">
        <v>49</v>
      </c>
      <c r="AE20" s="107"/>
      <c r="AF20" s="149"/>
      <c r="AG20" s="83">
        <f>AG17+AG18+AG19</f>
        <v>23211.25</v>
      </c>
    </row>
    <row r="21" spans="2:33">
      <c r="H21" s="8"/>
      <c r="I21" s="116" t="s">
        <v>50</v>
      </c>
      <c r="J21" s="117"/>
      <c r="K21" s="117"/>
      <c r="L21" s="35">
        <f>L20/L4</f>
        <v>6868.9800000000005</v>
      </c>
      <c r="O21" s="8"/>
      <c r="P21" s="116" t="s">
        <v>50</v>
      </c>
      <c r="Q21" s="117"/>
      <c r="R21" s="117"/>
      <c r="S21" s="35">
        <f>S20/S4</f>
        <v>10667.1</v>
      </c>
      <c r="V21" s="8"/>
      <c r="W21" s="116" t="s">
        <v>50</v>
      </c>
      <c r="X21" s="117"/>
      <c r="Y21" s="117"/>
      <c r="Z21" s="35">
        <f>Z20/Z4</f>
        <v>5768.7124999999996</v>
      </c>
      <c r="AC21" s="8"/>
      <c r="AD21" s="116" t="s">
        <v>50</v>
      </c>
      <c r="AE21" s="117"/>
      <c r="AF21" s="152"/>
      <c r="AG21" s="84">
        <f>AG20/AG4</f>
        <v>5802.8125</v>
      </c>
    </row>
    <row r="22" spans="2:33">
      <c r="B22" s="113" t="s">
        <v>41</v>
      </c>
      <c r="C22" s="75" t="s">
        <v>205</v>
      </c>
      <c r="D22" s="70">
        <v>15</v>
      </c>
      <c r="G22" s="27" t="s">
        <v>51</v>
      </c>
      <c r="H22" s="40">
        <v>150</v>
      </c>
      <c r="I22" s="109" t="s">
        <v>52</v>
      </c>
      <c r="J22" s="110"/>
      <c r="K22" s="110"/>
      <c r="L22" s="33">
        <f>L21*(H22/100)</f>
        <v>10303.470000000001</v>
      </c>
      <c r="N22" s="27" t="s">
        <v>51</v>
      </c>
      <c r="O22" s="40">
        <v>150</v>
      </c>
      <c r="P22" s="109" t="s">
        <v>52</v>
      </c>
      <c r="Q22" s="110"/>
      <c r="R22" s="110"/>
      <c r="S22" s="33">
        <f>S21*(O22/100)</f>
        <v>16000.650000000001</v>
      </c>
      <c r="U22" s="27" t="s">
        <v>51</v>
      </c>
      <c r="V22" s="40">
        <v>150</v>
      </c>
      <c r="W22" s="109" t="s">
        <v>52</v>
      </c>
      <c r="X22" s="110"/>
      <c r="Y22" s="110"/>
      <c r="Z22" s="33">
        <f>Z21*(V22/100)</f>
        <v>8653.0687499999985</v>
      </c>
      <c r="AB22" s="27" t="s">
        <v>51</v>
      </c>
      <c r="AC22" s="40">
        <v>150</v>
      </c>
      <c r="AD22" s="109" t="s">
        <v>52</v>
      </c>
      <c r="AE22" s="110"/>
      <c r="AF22" s="147"/>
      <c r="AG22" s="82">
        <f>AG21*(AC22/100)</f>
        <v>8704.21875</v>
      </c>
    </row>
    <row r="23" spans="2:33">
      <c r="B23" s="114"/>
      <c r="C23" s="75" t="s">
        <v>206</v>
      </c>
      <c r="D23" s="70">
        <v>10</v>
      </c>
      <c r="G23" s="38" t="s">
        <v>53</v>
      </c>
      <c r="H23" s="41">
        <v>4</v>
      </c>
      <c r="I23" s="111" t="s">
        <v>54</v>
      </c>
      <c r="J23" s="112"/>
      <c r="K23" s="112"/>
      <c r="L23" s="39">
        <f>(H23/100)*L22</f>
        <v>412.13880000000006</v>
      </c>
      <c r="N23" s="38" t="s">
        <v>53</v>
      </c>
      <c r="O23" s="41">
        <v>4</v>
      </c>
      <c r="P23" s="111" t="s">
        <v>54</v>
      </c>
      <c r="Q23" s="112"/>
      <c r="R23" s="112"/>
      <c r="S23" s="39">
        <f>(O23/100)*S22</f>
        <v>640.02600000000007</v>
      </c>
      <c r="U23" s="38" t="s">
        <v>53</v>
      </c>
      <c r="V23" s="41">
        <v>4</v>
      </c>
      <c r="W23" s="111" t="s">
        <v>54</v>
      </c>
      <c r="X23" s="112"/>
      <c r="Y23" s="112"/>
      <c r="Z23" s="39">
        <f>(V23/100)*Z22</f>
        <v>346.12274999999994</v>
      </c>
      <c r="AB23" s="38" t="s">
        <v>53</v>
      </c>
      <c r="AC23" s="41">
        <v>4</v>
      </c>
      <c r="AD23" s="111" t="s">
        <v>54</v>
      </c>
      <c r="AE23" s="112"/>
      <c r="AF23" s="148"/>
      <c r="AG23" s="85">
        <f>(AC23/100)*AG22</f>
        <v>348.16874999999999</v>
      </c>
    </row>
    <row r="24" spans="2:33">
      <c r="B24" s="115"/>
      <c r="C24" s="75" t="s">
        <v>207</v>
      </c>
      <c r="D24" s="70">
        <v>15</v>
      </c>
      <c r="G24" s="29" t="s">
        <v>55</v>
      </c>
      <c r="H24" s="42">
        <v>8</v>
      </c>
      <c r="I24" s="108" t="s">
        <v>56</v>
      </c>
      <c r="J24" s="107"/>
      <c r="K24" s="107"/>
      <c r="L24" s="34">
        <f>L22*(H24/100)</f>
        <v>824.27760000000012</v>
      </c>
      <c r="N24" s="29" t="s">
        <v>55</v>
      </c>
      <c r="O24" s="42">
        <v>8</v>
      </c>
      <c r="P24" s="108" t="s">
        <v>56</v>
      </c>
      <c r="Q24" s="107"/>
      <c r="R24" s="107"/>
      <c r="S24" s="34">
        <f>S22*(O24/100)</f>
        <v>1280.0520000000001</v>
      </c>
      <c r="U24" s="29" t="s">
        <v>55</v>
      </c>
      <c r="V24" s="42">
        <v>8</v>
      </c>
      <c r="W24" s="108" t="s">
        <v>56</v>
      </c>
      <c r="X24" s="107"/>
      <c r="Y24" s="107"/>
      <c r="Z24" s="34">
        <f>Z22*(V24/100)</f>
        <v>692.24549999999988</v>
      </c>
      <c r="AB24" s="29" t="s">
        <v>55</v>
      </c>
      <c r="AC24" s="42">
        <v>8</v>
      </c>
      <c r="AD24" s="108" t="s">
        <v>56</v>
      </c>
      <c r="AE24" s="107"/>
      <c r="AF24" s="149"/>
      <c r="AG24" s="83">
        <f>AG22*(AC24/100)</f>
        <v>696.33749999999998</v>
      </c>
    </row>
    <row r="25" spans="2:33">
      <c r="G25" s="28" t="s">
        <v>57</v>
      </c>
      <c r="H25" s="43">
        <v>19</v>
      </c>
      <c r="I25" s="99" t="s">
        <v>58</v>
      </c>
      <c r="J25" s="100"/>
      <c r="K25" s="100"/>
      <c r="L25" s="36">
        <f>L22*(H25/100)</f>
        <v>1957.6593000000003</v>
      </c>
      <c r="N25" s="28" t="s">
        <v>57</v>
      </c>
      <c r="O25" s="43">
        <v>19</v>
      </c>
      <c r="P25" s="99" t="s">
        <v>58</v>
      </c>
      <c r="Q25" s="100"/>
      <c r="R25" s="100"/>
      <c r="S25" s="36">
        <f>S22*(O25/100)</f>
        <v>3040.1235000000001</v>
      </c>
      <c r="U25" s="28" t="s">
        <v>57</v>
      </c>
      <c r="V25" s="43">
        <v>19</v>
      </c>
      <c r="W25" s="99" t="s">
        <v>58</v>
      </c>
      <c r="X25" s="100"/>
      <c r="Y25" s="100"/>
      <c r="Z25" s="36">
        <f>Z22*(V25/100)</f>
        <v>1644.0830624999996</v>
      </c>
      <c r="AB25" s="28" t="s">
        <v>57</v>
      </c>
      <c r="AC25" s="43">
        <v>19</v>
      </c>
      <c r="AD25" s="99" t="s">
        <v>58</v>
      </c>
      <c r="AE25" s="100"/>
      <c r="AF25" s="150"/>
      <c r="AG25" s="86">
        <f>AG22*(AC25/100)</f>
        <v>1653.8015625</v>
      </c>
    </row>
    <row r="26" spans="2:33">
      <c r="H26" s="8"/>
      <c r="I26" s="101" t="s">
        <v>59</v>
      </c>
      <c r="J26" s="102"/>
      <c r="K26" s="102"/>
      <c r="L26" s="37">
        <f>SUM(L22:L25)</f>
        <v>13497.545700000002</v>
      </c>
      <c r="O26" s="8"/>
      <c r="P26" s="101" t="s">
        <v>59</v>
      </c>
      <c r="Q26" s="102"/>
      <c r="R26" s="102"/>
      <c r="S26" s="37">
        <f>SUM(S22:S25)</f>
        <v>20960.851500000004</v>
      </c>
      <c r="V26" s="8"/>
      <c r="W26" s="101" t="s">
        <v>59</v>
      </c>
      <c r="X26" s="102"/>
      <c r="Y26" s="102"/>
      <c r="Z26" s="37">
        <f>SUM(Z22:Z25)</f>
        <v>11335.520062499998</v>
      </c>
      <c r="AC26" s="8"/>
      <c r="AD26" s="101" t="s">
        <v>59</v>
      </c>
      <c r="AE26" s="102"/>
      <c r="AF26" s="151"/>
      <c r="AG26" s="87">
        <f>SUM(AG22:AG25)</f>
        <v>11402.526562500001</v>
      </c>
    </row>
    <row r="34" spans="3:3" ht="16.5">
      <c r="C34" s="20"/>
    </row>
    <row r="35" spans="3:3" ht="16.5">
      <c r="C35" s="20"/>
    </row>
    <row r="36" spans="3:3" ht="16.5">
      <c r="C36" s="20"/>
    </row>
    <row r="37" spans="3:3" ht="16.5">
      <c r="C37" s="20"/>
    </row>
  </sheetData>
  <mergeCells count="110">
    <mergeCell ref="P22:R22"/>
    <mergeCell ref="P23:R23"/>
    <mergeCell ref="P24:R24"/>
    <mergeCell ref="P25:R25"/>
    <mergeCell ref="P26:R26"/>
    <mergeCell ref="P21:R21"/>
    <mergeCell ref="N10:O10"/>
    <mergeCell ref="N11:O11"/>
    <mergeCell ref="N12:O12"/>
    <mergeCell ref="N13:O13"/>
    <mergeCell ref="N14:O14"/>
    <mergeCell ref="N15:O15"/>
    <mergeCell ref="N16:O16"/>
    <mergeCell ref="P17:R17"/>
    <mergeCell ref="P18:R18"/>
    <mergeCell ref="P19:R19"/>
    <mergeCell ref="P20:R20"/>
    <mergeCell ref="N2:O2"/>
    <mergeCell ref="P2:S2"/>
    <mergeCell ref="P3:Q3"/>
    <mergeCell ref="N5:O5"/>
    <mergeCell ref="N6:O6"/>
    <mergeCell ref="N7:O7"/>
    <mergeCell ref="N8:O8"/>
    <mergeCell ref="N9:O9"/>
    <mergeCell ref="I2:L2"/>
    <mergeCell ref="I3:J3"/>
    <mergeCell ref="I26:K26"/>
    <mergeCell ref="I20:K20"/>
    <mergeCell ref="I21:K21"/>
    <mergeCell ref="I22:K22"/>
    <mergeCell ref="I23:K23"/>
    <mergeCell ref="I24:K24"/>
    <mergeCell ref="I25:K25"/>
    <mergeCell ref="C20:D20"/>
    <mergeCell ref="C5:D5"/>
    <mergeCell ref="C6:D6"/>
    <mergeCell ref="C7:D7"/>
    <mergeCell ref="G8:H8"/>
    <mergeCell ref="G9:H9"/>
    <mergeCell ref="G10:H10"/>
    <mergeCell ref="G11:H11"/>
    <mergeCell ref="G7:H7"/>
    <mergeCell ref="G6:H6"/>
    <mergeCell ref="G5:H5"/>
    <mergeCell ref="G14:H14"/>
    <mergeCell ref="G15:H15"/>
    <mergeCell ref="G16:H16"/>
    <mergeCell ref="G12:H12"/>
    <mergeCell ref="B22:B24"/>
    <mergeCell ref="C11:D11"/>
    <mergeCell ref="C2:D2"/>
    <mergeCell ref="C3:D3"/>
    <mergeCell ref="C4:D4"/>
    <mergeCell ref="I17:K17"/>
    <mergeCell ref="I18:K18"/>
    <mergeCell ref="I19:K19"/>
    <mergeCell ref="G13:H13"/>
    <mergeCell ref="B2:B20"/>
    <mergeCell ref="G2:H2"/>
    <mergeCell ref="U7:V7"/>
    <mergeCell ref="U8:V8"/>
    <mergeCell ref="U9:V9"/>
    <mergeCell ref="U10:V10"/>
    <mergeCell ref="U11:V11"/>
    <mergeCell ref="U2:V2"/>
    <mergeCell ref="W2:Z2"/>
    <mergeCell ref="W3:X3"/>
    <mergeCell ref="U5:V5"/>
    <mergeCell ref="U6:V6"/>
    <mergeCell ref="W26:Y26"/>
    <mergeCell ref="W17:Y17"/>
    <mergeCell ref="W18:Y18"/>
    <mergeCell ref="W19:Y19"/>
    <mergeCell ref="W20:Y20"/>
    <mergeCell ref="W21:Y21"/>
    <mergeCell ref="U12:V12"/>
    <mergeCell ref="U13:V13"/>
    <mergeCell ref="U14:V14"/>
    <mergeCell ref="U15:V15"/>
    <mergeCell ref="U16:V16"/>
    <mergeCell ref="AB2:AC2"/>
    <mergeCell ref="AD2:AG2"/>
    <mergeCell ref="AD3:AE3"/>
    <mergeCell ref="AB5:AC5"/>
    <mergeCell ref="AB6:AC6"/>
    <mergeCell ref="W22:Y22"/>
    <mergeCell ref="W23:Y23"/>
    <mergeCell ref="W24:Y24"/>
    <mergeCell ref="W25:Y25"/>
    <mergeCell ref="AB12:AC12"/>
    <mergeCell ref="AB13:AC13"/>
    <mergeCell ref="AB14:AC14"/>
    <mergeCell ref="AB15:AC15"/>
    <mergeCell ref="AB16:AC16"/>
    <mergeCell ref="AB7:AC7"/>
    <mergeCell ref="AB8:AC8"/>
    <mergeCell ref="AB9:AC9"/>
    <mergeCell ref="AB10:AC10"/>
    <mergeCell ref="AB11:AC11"/>
    <mergeCell ref="AD22:AF22"/>
    <mergeCell ref="AD23:AF23"/>
    <mergeCell ref="AD24:AF24"/>
    <mergeCell ref="AD25:AF25"/>
    <mergeCell ref="AD26:AF26"/>
    <mergeCell ref="AD17:AF17"/>
    <mergeCell ref="AD18:AF18"/>
    <mergeCell ref="AD19:AF19"/>
    <mergeCell ref="AD20:AF20"/>
    <mergeCell ref="AD21:AF2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Edinson Cordero Bayona</dc:creator>
  <cp:keywords/>
  <dc:description/>
  <cp:lastModifiedBy>Jhon Edinson Cordero Bayona</cp:lastModifiedBy>
  <cp:revision/>
  <dcterms:created xsi:type="dcterms:W3CDTF">2023-04-01T22:06:25Z</dcterms:created>
  <dcterms:modified xsi:type="dcterms:W3CDTF">2024-08-14T00:55:38Z</dcterms:modified>
  <cp:category/>
  <cp:contentStatus/>
</cp:coreProperties>
</file>